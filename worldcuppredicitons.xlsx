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campanaundschott-my.sharepoint.com/personal/daniel_keller_campana-schott_com/Documents/"/>
    </mc:Choice>
  </mc:AlternateContent>
  <xr:revisionPtr revIDLastSave="804" documentId="8_{65A6CFD1-0E98-4D4C-9338-D04837841721}" xr6:coauthVersionLast="47" xr6:coauthVersionMax="47" xr10:uidLastSave="{036E05E4-1BC7-40F5-84B8-742B28655415}"/>
  <bookViews>
    <workbookView xWindow="-110" yWindow="-110" windowWidth="19420" windowHeight="11500" firstSheet="1" activeTab="1" xr2:uid="{B53898FC-9AE0-43F0-98AA-DE46C2F7F095}"/>
  </bookViews>
  <sheets>
    <sheet name="Instructions" sheetId="2" r:id="rId1"/>
    <sheet name="WC2026" sheetId="1" r:id="rId2"/>
    <sheet name="_Calc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Z4" i="1" l="1" a="1"/>
  <c r="Z4" i="1" s="1"/>
  <c r="Z5" i="1" a="1"/>
  <c r="Z5" i="1" s="1"/>
  <c r="Z6" i="1" a="1"/>
  <c r="Z6" i="1" s="1"/>
  <c r="Z7" i="1" a="1"/>
  <c r="Z7" i="1" s="1"/>
  <c r="Z8" i="1" a="1"/>
  <c r="Z8" i="1" s="1"/>
  <c r="Z9" i="1" a="1"/>
  <c r="Z9" i="1" s="1"/>
  <c r="Z10" i="1" a="1"/>
  <c r="Z10" i="1" s="1"/>
  <c r="Z11" i="1" a="1"/>
  <c r="Z11" i="1" s="1"/>
  <c r="Z12" i="1" a="1"/>
  <c r="Z12" i="1" s="1"/>
  <c r="Z13" i="1" a="1"/>
  <c r="Z13" i="1" s="1"/>
  <c r="Z14" i="1" a="1"/>
  <c r="Z14" i="1" s="1"/>
  <c r="Z15" i="1" a="1"/>
  <c r="Z15" i="1" s="1"/>
  <c r="Z16" i="1" a="1"/>
  <c r="Z16" i="1" s="1"/>
  <c r="Z17" i="1" a="1"/>
  <c r="Z17" i="1" s="1"/>
  <c r="Z18" i="1" a="1"/>
  <c r="Z18" i="1" s="1"/>
  <c r="Z19" i="1" a="1"/>
  <c r="Z19" i="1" s="1"/>
  <c r="Z20" i="1" a="1"/>
  <c r="Z20" i="1" s="1"/>
  <c r="Z21" i="1" a="1"/>
  <c r="Z21" i="1" s="1"/>
  <c r="Z22" i="1" a="1"/>
  <c r="Z22" i="1" s="1"/>
  <c r="Z23" i="1" a="1"/>
  <c r="Z23" i="1" s="1"/>
  <c r="Z24" i="1" a="1"/>
  <c r="Z24" i="1" s="1"/>
  <c r="Z25" i="1" a="1"/>
  <c r="Z25" i="1" s="1"/>
  <c r="Z26" i="1" a="1"/>
  <c r="Z26" i="1" s="1"/>
  <c r="X3" i="1" a="1"/>
  <c r="X3" i="1" s="1"/>
  <c r="W3" i="1" a="1"/>
  <c r="W3" i="1" s="1"/>
  <c r="A2" i="3"/>
  <c r="Z3" i="1" l="1" a="1"/>
  <c r="Z3" i="1" s="1"/>
  <c r="V3" i="1" a="1"/>
  <c r="V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<sst xmlns="http://schemas.openxmlformats.org/spreadsheetml/2006/main" count="476" uniqueCount="284">
  <si>
    <t>FIFA WORLD CUP 2026 TIPPING GAME</t>
  </si>
  <si>
    <t>HOW TO USE THIS WORKBOOK:</t>
  </si>
  <si>
    <t>TABLE 1: MatchesMaster</t>
  </si>
  <si>
    <t>- Contains all 104 official FIFA World Cup 2026 matches</t>
  </si>
  <si>
    <t>- Group Stage: Matches M01-M72 (June 11-27, 2026)</t>
  </si>
  <si>
    <t>- Round of 32: Matches M73-M88 (June 28 - July 3, 2026)</t>
  </si>
  <si>
    <t>- Round of 16: Matches M89-M96 (July 4-7, 2026)</t>
  </si>
  <si>
    <t>- Quarter-Finals: Matches M97-M100 (July 9-11, 2026)</t>
  </si>
  <si>
    <t>- Semi-Finals: Matches M101-M102 (July 14-15, 2026)</t>
  </si>
  <si>
    <t>- Bronze Final: Match M103 (July 18, 2026)</t>
  </si>
  <si>
    <t>- Final: Match M104 (July 19, 2026)</t>
  </si>
  <si>
    <t>- Enter real scores in RealScoreA and RealScoreB columns as matches complete</t>
  </si>
  <si>
    <t>TABLE 2: UserTips</t>
  </si>
  <si>
    <t>- Add user predictions here</t>
  </si>
  <si>
    <t>- TipID: Unique identifier for each tip (e.g., T001, T002...)</t>
  </si>
  <si>
    <t>- UserEmail: Email address of the participant</t>
  </si>
  <si>
    <t>- MatchID: Must match exactly with MatchesMaster (e.g., M01, M02...)</t>
  </si>
  <si>
    <t>- GuessA: Predicted score for TeamA</t>
  </si>
  <si>
    <t>- GuessB: Predicted score for TeamB</t>
  </si>
  <si>
    <t>- PointsEarned: Calculated automatically</t>
  </si>
  <si>
    <t>SCORING SYSTEM:</t>
  </si>
  <si>
    <t>- 3 Points: Exact score prediction (e.g., guessed 2-1, actual 2-1)</t>
  </si>
  <si>
    <t>- 1 Point: Correct result (win/draw/loss) but wrong score</t>
  </si>
  <si>
    <t>- 0 Points: Wrong prediction or incomplete data</t>
  </si>
  <si>
    <t>TABLE 3: Leaderboard</t>
  </si>
  <si>
    <t>- Automatically calculates and ranks all participants</t>
  </si>
  <si>
    <t>- Sorted by total points (highest first)</t>
  </si>
  <si>
    <t>- Updates dynamically as tips and scores are entered</t>
  </si>
  <si>
    <t>NOTES:</t>
  </si>
  <si>
    <t>- Teams marked 'TBD' are pending qualification playoffs</t>
  </si>
  <si>
    <t>- Knockout round team names will be updated as tournament progresses</t>
  </si>
  <si>
    <t>- Hosts: Canada, Mexico, USA (Groups A, B, D)</t>
  </si>
  <si>
    <t>MATCHES MASTER</t>
  </si>
  <si>
    <t>USER TIPS</t>
  </si>
  <si>
    <t>🏆 Leaderboard</t>
  </si>
  <si>
    <t>📧 USEREMAILS</t>
  </si>
  <si>
    <t>MatchID</t>
  </si>
  <si>
    <t>Date</t>
  </si>
  <si>
    <t>Group</t>
  </si>
  <si>
    <t>TeamA</t>
  </si>
  <si>
    <t>TeamB</t>
  </si>
  <si>
    <t>RealScoreA</t>
  </si>
  <si>
    <t>RealScoreB</t>
  </si>
  <si>
    <t>TipID</t>
  </si>
  <si>
    <t>UserEmail</t>
  </si>
  <si>
    <t>GuessA</t>
  </si>
  <si>
    <t>GuessB</t>
  </si>
  <si>
    <t>PointsEarned</t>
  </si>
  <si>
    <t>Nickname</t>
  </si>
  <si>
    <t>TotalPoints</t>
  </si>
  <si>
    <t>M01</t>
  </si>
  <si>
    <t>Group A</t>
  </si>
  <si>
    <t>Mexico</t>
  </si>
  <si>
    <t>South Africa</t>
  </si>
  <si>
    <t>M02</t>
  </si>
  <si>
    <t>Korea Republic</t>
  </si>
  <si>
    <t>Czech Republic</t>
  </si>
  <si>
    <t>M03</t>
  </si>
  <si>
    <t>Group B</t>
  </si>
  <si>
    <t>Canada</t>
  </si>
  <si>
    <t>Bosnia and Herzegowina</t>
  </si>
  <si>
    <t>M04</t>
  </si>
  <si>
    <t>Group D</t>
  </si>
  <si>
    <t>USA</t>
  </si>
  <si>
    <t>Paraguay</t>
  </si>
  <si>
    <t>M05</t>
  </si>
  <si>
    <t>Group C</t>
  </si>
  <si>
    <t>Brazil</t>
  </si>
  <si>
    <t>Morocco</t>
  </si>
  <si>
    <t>M06</t>
  </si>
  <si>
    <t>Australia</t>
  </si>
  <si>
    <t>Türkiye</t>
  </si>
  <si>
    <t>M07</t>
  </si>
  <si>
    <t>Haiti</t>
  </si>
  <si>
    <t>Scotland</t>
  </si>
  <si>
    <t>M08</t>
  </si>
  <si>
    <t>Qatar</t>
  </si>
  <si>
    <t>Switzerland</t>
  </si>
  <si>
    <t>M09</t>
  </si>
  <si>
    <t>Group E</t>
  </si>
  <si>
    <t>Cote d'Ivoire</t>
  </si>
  <si>
    <t>Ecuador</t>
  </si>
  <si>
    <t>M10</t>
  </si>
  <si>
    <t>Germany</t>
  </si>
  <si>
    <t>Curacao</t>
  </si>
  <si>
    <t>M11</t>
  </si>
  <si>
    <t>Group F</t>
  </si>
  <si>
    <t>Netherlands</t>
  </si>
  <si>
    <t>Japan</t>
  </si>
  <si>
    <t>M12</t>
  </si>
  <si>
    <t>Sweden</t>
  </si>
  <si>
    <t>Tunisia</t>
  </si>
  <si>
    <t>M13</t>
  </si>
  <si>
    <t>Group H</t>
  </si>
  <si>
    <t>Saudi Arabia</t>
  </si>
  <si>
    <t>Uruguay</t>
  </si>
  <si>
    <t>M14</t>
  </si>
  <si>
    <t>Spain</t>
  </si>
  <si>
    <t>Cabo Verde</t>
  </si>
  <si>
    <t>M15</t>
  </si>
  <si>
    <t>Group G</t>
  </si>
  <si>
    <t>IR Iran</t>
  </si>
  <si>
    <t>New Zealand</t>
  </si>
  <si>
    <t>M16</t>
  </si>
  <si>
    <t>Belgium</t>
  </si>
  <si>
    <t>Egypt</t>
  </si>
  <si>
    <t>M17</t>
  </si>
  <si>
    <t>Group I</t>
  </si>
  <si>
    <t>France</t>
  </si>
  <si>
    <t>Senegal</t>
  </si>
  <si>
    <t>M18</t>
  </si>
  <si>
    <t>Iraq</t>
  </si>
  <si>
    <t>Norway</t>
  </si>
  <si>
    <t>M19</t>
  </si>
  <si>
    <t>Group J</t>
  </si>
  <si>
    <t>Argentina</t>
  </si>
  <si>
    <t>Algeria</t>
  </si>
  <si>
    <t>M20</t>
  </si>
  <si>
    <t>Austria</t>
  </si>
  <si>
    <t>Jordan</t>
  </si>
  <si>
    <t>M21</t>
  </si>
  <si>
    <t>Group L</t>
  </si>
  <si>
    <t>Ghana</t>
  </si>
  <si>
    <t>Panama</t>
  </si>
  <si>
    <t>M22</t>
  </si>
  <si>
    <t>England</t>
  </si>
  <si>
    <t>Croatia</t>
  </si>
  <si>
    <t>M23</t>
  </si>
  <si>
    <t>Group K</t>
  </si>
  <si>
    <t>Portugal</t>
  </si>
  <si>
    <t>DR Congo</t>
  </si>
  <si>
    <t>M24</t>
  </si>
  <si>
    <t>Uzbekistan</t>
  </si>
  <si>
    <t>Colombia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</si>
  <si>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</si>
  <si>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</si>
  <si>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</si>
  <si>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</si>
  <si>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</si>
  <si>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</si>
  <si>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</si>
  <si>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</si>
  <si>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</si>
  <si>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</si>
  <si>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</si>
  <si>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</si>
  <si>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</si>
  <si>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</si>
  <si>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</si>
  <si>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</si>
  <si>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</si>
  <si>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</si>
  <si>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</si>
  <si>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</si>
  <si>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</si>
  <si>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</si>
  <si>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</si>
  <si>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</si>
  <si>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</si>
  <si>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</si>
  <si>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</si>
  <si>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</si>
  <si>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</si>
  <si>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</si>
  <si>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</si>
  <si>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</si>
  <si>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</si>
  <si>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</si>
  <si>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</si>
  <si>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</si>
  <si>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</si>
  <si>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</si>
  <si>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</si>
  <si>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</si>
  <si>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</si>
  <si>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</si>
  <si>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</si>
  <si>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</si>
  <si>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</si>
  <si>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</si>
  <si>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</si>
  <si>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</si>
  <si>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</si>
  <si>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Round of 32</t>
  </si>
  <si>
    <t>Runner-up Group A</t>
  </si>
  <si>
    <t>Runner-up Group B</t>
  </si>
  <si>
    <t>M74</t>
  </si>
  <si>
    <t>Winner Group E</t>
  </si>
  <si>
    <t>3rd Place A/B/C/D/F</t>
  </si>
  <si>
    <t>M75</t>
  </si>
  <si>
    <t>Winner Group F</t>
  </si>
  <si>
    <t>Runner-up Group C</t>
  </si>
  <si>
    <t>M76</t>
  </si>
  <si>
    <t>Winner Group C</t>
  </si>
  <si>
    <t>Runner-up Group F</t>
  </si>
  <si>
    <t>M77</t>
  </si>
  <si>
    <t>Winner Group I</t>
  </si>
  <si>
    <t>3rd Place C/D/F/G/H</t>
  </si>
  <si>
    <t>M78</t>
  </si>
  <si>
    <t>Runner-up Group E</t>
  </si>
  <si>
    <t>Runner-up Group I</t>
  </si>
  <si>
    <t>M79</t>
  </si>
  <si>
    <t>Winner Group A</t>
  </si>
  <si>
    <t>3rd Place C/E/F/H/I</t>
  </si>
  <si>
    <t>M80</t>
  </si>
  <si>
    <t>Winner Group L</t>
  </si>
  <si>
    <t>3rd Place E/H/I/J/K</t>
  </si>
  <si>
    <t>M81</t>
  </si>
  <si>
    <t>Winner Group D</t>
  </si>
  <si>
    <t>3rd Place B/E/F/I/J</t>
  </si>
  <si>
    <t>M82</t>
  </si>
  <si>
    <t>Winner Group G</t>
  </si>
  <si>
    <t>3rd Place A/E/H/I/J</t>
  </si>
  <si>
    <t>M83</t>
  </si>
  <si>
    <t>Runner-up Group K</t>
  </si>
  <si>
    <t>Runner-up Group L</t>
  </si>
  <si>
    <t>M84</t>
  </si>
  <si>
    <t>Winner Group H</t>
  </si>
  <si>
    <t>Runner-up Group J</t>
  </si>
  <si>
    <t>M85</t>
  </si>
  <si>
    <t>Winner Group B</t>
  </si>
  <si>
    <t>3rd Place E/F/G/I/J</t>
  </si>
  <si>
    <t>M86</t>
  </si>
  <si>
    <t>Winner Group J</t>
  </si>
  <si>
    <t>Runner-up Group H</t>
  </si>
  <si>
    <t>M87</t>
  </si>
  <si>
    <t>Winner Group K</t>
  </si>
  <si>
    <t>3rd Place D/E/I/J/L</t>
  </si>
  <si>
    <t>M88</t>
  </si>
  <si>
    <t>Runner-up Group D</t>
  </si>
  <si>
    <t>Runner-up Group G</t>
  </si>
  <si>
    <t>M89</t>
  </si>
  <si>
    <t>Round of 16</t>
  </si>
  <si>
    <t>Winner M74</t>
  </si>
  <si>
    <t>Winner M77</t>
  </si>
  <si>
    <t>M90</t>
  </si>
  <si>
    <t>Winner M73</t>
  </si>
  <si>
    <t>Winner M75</t>
  </si>
  <si>
    <t>M91</t>
  </si>
  <si>
    <t>Winner M76</t>
  </si>
  <si>
    <t>Winner M78</t>
  </si>
  <si>
    <t>M92</t>
  </si>
  <si>
    <t>Winner M79</t>
  </si>
  <si>
    <t>Winner M80</t>
  </si>
  <si>
    <t>M93</t>
  </si>
  <si>
    <t>Winner M83</t>
  </si>
  <si>
    <t>Winner M84</t>
  </si>
  <si>
    <t>M94</t>
  </si>
  <si>
    <t>Winner M81</t>
  </si>
  <si>
    <t>Winner M82</t>
  </si>
  <si>
    <t>M95</t>
  </si>
  <si>
    <t>Winner M86</t>
  </si>
  <si>
    <t>Winner M88</t>
  </si>
  <si>
    <t>M96</t>
  </si>
  <si>
    <t>Winner M85</t>
  </si>
  <si>
    <t>Winner M87</t>
  </si>
  <si>
    <t>M97</t>
  </si>
  <si>
    <t>Quarter-Final</t>
  </si>
  <si>
    <t>Winner M89</t>
  </si>
  <si>
    <t>Winner M90</t>
  </si>
  <si>
    <t>M98</t>
  </si>
  <si>
    <t>Winner M93</t>
  </si>
  <si>
    <t>Winner M94</t>
  </si>
  <si>
    <t>M99</t>
  </si>
  <si>
    <t>Winner M91</t>
  </si>
  <si>
    <t>Winner M92</t>
  </si>
  <si>
    <t>M100</t>
  </si>
  <si>
    <t>Winner M95</t>
  </si>
  <si>
    <t>Winner M96</t>
  </si>
  <si>
    <t>M101</t>
  </si>
  <si>
    <t>Semi-Final</t>
  </si>
  <si>
    <t>Winner M97</t>
  </si>
  <si>
    <t>Winner M98</t>
  </si>
  <si>
    <t>M102</t>
  </si>
  <si>
    <t>Winner M99</t>
  </si>
  <si>
    <t>Winner M100</t>
  </si>
  <si>
    <t>M103</t>
  </si>
  <si>
    <t>Bronze Final</t>
  </si>
  <si>
    <t>Loser M101</t>
  </si>
  <si>
    <t>Loser M102</t>
  </si>
  <si>
    <t>M104</t>
  </si>
  <si>
    <t>Final</t>
  </si>
  <si>
    <t>Winner M101</t>
  </si>
  <si>
    <t>Winner M102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</si>
</sst>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1F4E79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Consolas"/>
    </font>
    <font>
      <b/>
      <sz val="14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164" fontId="1" fillId="0" borderId="0" xfId="0" applyNumberFormat="1" applyFont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font>
        <b/>
      </font>
    </dxf>
    <dxf>
      <numFmt numFmtId="1" formatCode="0"/>
      <alignment horizontal="right"/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</dxf>
    <dxf>
      <font>
        <b/>
      </font>
    </dxf>
    <dxf>
      <numFmt numFmtId="164" formatCode="yyyy\-mm\-dd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EAAD8A-E7CA-436A-9413-45890018AC35}" name="MatchesMaster" displayName="MatchesMaster" ref="A2:G106" totalsRowShown="0" headerRowDxfId="11">
  <autoFilter ref="A2:G106" xr:uid="{02EAAD8A-E7CA-436A-9413-45890018AC35}"/>
  <tableColumns count="7">
    <tableColumn id="1" xr3:uid="{246BD934-A210-4AD8-9370-58D9481329C4}" name="MatchID"/>
    <tableColumn id="2" xr3:uid="{6855C3E0-6ECF-4EC3-8E94-3E6B58A45B74}" name="Date" dataDxfId="10"/>
    <tableColumn id="3" xr3:uid="{BD708A34-DDC2-4E51-93AB-F6E6A6853433}" name="Group"/>
    <tableColumn id="4" xr3:uid="{B4893D7D-D010-4EF8-B9EC-F195ADE0002D}" name="TeamA"/>
    <tableColumn id="5" xr3:uid="{8733D88A-1A56-4E54-93C3-1D658A434469}" name="TeamB"/>
    <tableColumn id="6" xr3:uid="{8C85FA9F-6EE7-4BEF-B95C-B40D72FDD63A}" name="RealScoreA"/>
    <tableColumn id="7" xr3:uid="{489533B5-5A4B-46CC-99CC-C6F338CE1E7B}" name="RealScoreB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196D00-5AAF-4E34-96A9-3E698E0BF968}" name="LeaderboardTbl" displayName="LeaderboardTbl" ref="V2:X3" totalsRowShown="0" headerRowDxfId="9" dataDxfId="8">
  <autoFilter ref="V2:X3" xr:uid="{61196D00-5AAF-4E34-96A9-3E698E0BF968}"/>
  <sortState xmlns:xlrd2="http://schemas.microsoft.com/office/spreadsheetml/2017/richdata2" ref="V3:X3">
    <sortCondition descending="1" ref="X3"/>
    <sortCondition ref="V3"/>
  </sortState>
  <tableColumns count="3">
    <tableColumn id="1" xr3:uid="{9532EB70-50A0-42F1-8325-1E6175007EE1}" name="UserEmail" dataDxfId="7">
      <calculatedColumnFormula array="1">IFERROR(INDEX(_xlfn.ANCHORARRAY($T$3),ROW()-2,1),"")</calculatedColumnFormula>
    </tableColumn>
    <tableColumn id="3" xr3:uid="{B981DA5A-ABB2-4529-A2DE-AC842FF08686}" name="Nickname" dataDxfId="6">
      <calculatedColumnFormula array="1">IFERROR(INDEX(_xlfn.ANCHORARRAY(_Calc!$A$2),ROW()-ROW($V$2),2),"")</calculatedColumnFormula>
    </tableColumn>
    <tableColumn id="2" xr3:uid="{6175788D-E15C-49C0-8057-8FF1E0B260E6}" name="TotalPoints" dataDxfId="5">
      <calculatedColumnFormula array="1">IFERROR(INDEX(_xlfn.ANCHORARRAY(_Calc!$A$2),ROW()-ROW($V$2),3),"")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6C447E-98AA-402D-8C20-2D26040DD653}" name="UserTips" displayName="UserTips" ref="I2:R3" insertRow="1" totalsRowShown="0" headerRowDxfId="4">
  <autoFilter ref="I2:R3" xr:uid="{156C447E-98AA-402D-8C20-2D26040DD653}"/>
  <tableColumns count="10">
    <tableColumn id="1" xr3:uid="{B125E5D4-B390-4FC7-8372-987AA9AE7210}" name="TipID">
      <calculatedColumnFormula array="1">IF(AND(UserTips[[#This Row],[UserEmail]]="",UserTips[[#This Row],[MatchID]]=""),"","T"&amp;TEXT(ROW()-ROW(UserTips[#Headers]),"000"))</calculatedColumnFormula>
    </tableColumn>
    <tableColumn id="2" xr3:uid="{855D485B-9E6E-4C1A-AF44-4358EA19A2DB}" name="UserEmail"/>
    <tableColumn id="3" xr3:uid="{8636694C-1CB4-4067-AEC3-076A7EE68758}" name="MatchID"/>
    <tableColumn id="10" xr3:uid="{B60FF4F9-0C3A-45ED-9C48-8191EF2D5F72}" name="Date" dataDxfId="3">
      <calculatedColumnFormula>IFERROR(_xlfn.XLOOKUP(UserTips[[#This Row],[MatchID]],MatchesMaster[MatchID],MatchesMaster[Date],""),"")</calculatedColumnFormula>
    </tableColumn>
    <tableColumn id="7" xr3:uid="{8AA0AFB5-19B5-4BF6-AE0B-EFCE98EE4AF1}" name="Group" dataDxfId="2">
      <calculatedColumnFormula>IF(UserTips[[#This Row],[MatchID]]="","",IFERROR(INDEX(MatchesMaster[Group],MATCH(UserTips[[#This Row],[MatchID]],MatchesMaster[MatchID],0)),""))</calculatedColumnFormula>
    </tableColumn>
    <tableColumn id="8" xr3:uid="{4D503BC0-38A6-4552-9A0D-D44D46C824C9}" name="TeamA" dataDxfId="1">
      <calculatedColumnFormula>IFERROR(_xlfn.XLOOKUP(UserTips[[#This Row],[MatchID]],MatchesMaster[MatchID],MatchesMaster[TeamA],""),"")</calculatedColumnFormula>
    </tableColumn>
    <tableColumn id="9" xr3:uid="{C9C86537-40CA-40E3-8F2F-23CA53F6050B}" name="TeamB" dataDxfId="0">
      <calculatedColumnFormula>IFERROR(_xlfn.XLOOKUP(UserTips[[#This Row],[MatchID]],MatchesMaster[MatchID],MatchesMaster[TeamB],""),"")</calculatedColumnFormula>
    </tableColumn>
    <tableColumn id="4" xr3:uid="{E634E3F5-B05B-4BFA-BC1B-A358946C7946}" name="GuessA"/>
    <tableColumn id="5" xr3:uid="{03D87970-2DEF-4251-865B-9347AA0D2322}" name="GuessB"/>
    <tableColumn id="6" xr3:uid="{91108169-E5BF-4027-9A6A-8573DC174334}" name="PointsEarned">
      <calculatedColumnFormula>IF(OR(ISBLANK(UserTips[[#This Row],[GuessA]]),ISBLANK(INDEX(MatchesMaster[RealScoreA],MATCH(UserTips[[#This Row],[MatchID]],MatchesMaster[MatchID],0)))),0,IF(AND(UserTips[[#This Row],[GuessA]]=INDEX(MatchesMaster[RealScoreA],MATCH(UserTips[[#This Row],[MatchID]],MatchesMaster[MatchID],0)),UserTips[[#This Row],[GuessB]]=INDEX(MatchesMaster[RealScoreB],MATCH(UserTips[[#This Row],[MatchID]],MatchesMaster[MatchID],0))),3,IF(SIGN(UserTips[[#This Row],[GuessA]]-UserTips[[#This Row],[GuessB]])=SIGN(INDEX(MatchesMaster[RealScoreA],MATCH(UserTips[[#This Row],[MatchID]],MatchesMaster[MatchID],0))-INDEX(MatchesMaster[RealScoreB],MATCH(UserTips[[#This Row],[MatchID]],MatchesMaster[MatchID],0))),1,0)))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65DB2B-45BC-4D5A-AEBB-1E0A51369175}" name="UserEmails" displayName="UserEmails" ref="Z2:Z3" totalsRowShown="0">
  <autoFilter ref="Z2:Z3" xr:uid="{9065DB2B-45BC-4D5A-AEBB-1E0A51369175}"/>
  <tableColumns count="1">
    <tableColumn id="1" xr3:uid="{D9F7DD17-F11A-44CC-992B-405CE31E38AE}" name="UserEmail">
      <calculatedColumnFormula array="1">IFERROR(INDEX(_xlfn.ANCHORARRAY(_Calc!$A$2),ROW()-ROW($Z$2),1),"")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66A1-A27B-4A4A-9562-6487447E66C0}">
  <dimension ref="A1:A141"/>
  <sheetViews>
    <sheetView workbookViewId="0">
      <selection activeCell="A16" sqref="A16:A28"/>
    </sheetView>
  </sheetViews>
  <sheetFormatPr defaultColWidth="11.42578125" defaultRowHeight="14.45"/>
  <cols>
    <col min="1" max="1" width="161.140625" bestFit="1" customWidth="1"/>
  </cols>
  <sheetData>
    <row r="1" spans="1:1" ht="23.45">
      <c r="A1" s="3" t="s">
        <v>0</v>
      </c>
    </row>
    <row r="3" spans="1:1">
      <c r="A3" s="2" t="s">
        <v>1</v>
      </c>
    </row>
    <row r="5" spans="1:1">
      <c r="A5" s="2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6" spans="1:1">
      <c r="A16" s="2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s="2"/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29" spans="1:1">
      <c r="A29" s="2"/>
    </row>
    <row r="30" spans="1:1">
      <c r="A30" t="s">
        <v>24</v>
      </c>
    </row>
    <row r="31" spans="1:1">
      <c r="A31" t="s">
        <v>25</v>
      </c>
    </row>
    <row r="32" spans="1:1">
      <c r="A32" t="s">
        <v>26</v>
      </c>
    </row>
    <row r="33" spans="1:1">
      <c r="A33" s="2" t="s">
        <v>27</v>
      </c>
    </row>
    <row r="35" spans="1:1">
      <c r="A35" t="s">
        <v>28</v>
      </c>
    </row>
    <row r="36" spans="1:1">
      <c r="A36" t="s">
        <v>29</v>
      </c>
    </row>
    <row r="37" spans="1:1">
      <c r="A37" t="s">
        <v>30</v>
      </c>
    </row>
    <row r="38" spans="1:1">
      <c r="A38" t="s">
        <v>31</v>
      </c>
    </row>
    <row r="40" spans="1:1" ht="15.75">
      <c r="A40" s="6"/>
    </row>
    <row r="41" spans="1:1" ht="15">
      <c r="A41" s="7"/>
    </row>
    <row r="43" spans="1:1" ht="15">
      <c r="A43" s="8"/>
    </row>
    <row r="44" spans="1:1" ht="15">
      <c r="A44" s="8"/>
    </row>
    <row r="45" spans="1:1" ht="15">
      <c r="A45" s="8"/>
    </row>
    <row r="46" spans="1:1" ht="15">
      <c r="A46" s="8"/>
    </row>
    <row r="47" spans="1:1" ht="15">
      <c r="A47" s="8"/>
    </row>
    <row r="48" spans="1:1" ht="15">
      <c r="A48" s="8"/>
    </row>
    <row r="49" spans="1:1" ht="15">
      <c r="A49" s="8"/>
    </row>
    <row r="50" spans="1:1" ht="15">
      <c r="A50" s="8"/>
    </row>
    <row r="51" spans="1:1" ht="15">
      <c r="A51" s="8"/>
    </row>
    <row r="52" spans="1:1" ht="15">
      <c r="A52" s="8"/>
    </row>
    <row r="53" spans="1:1" ht="15">
      <c r="A53" s="8"/>
    </row>
    <row r="54" spans="1:1" ht="15">
      <c r="A54" s="8"/>
    </row>
    <row r="55" spans="1:1" ht="15">
      <c r="A55" s="8"/>
    </row>
    <row r="56" spans="1:1" ht="15">
      <c r="A56" s="8"/>
    </row>
    <row r="57" spans="1:1" ht="15">
      <c r="A57" s="8"/>
    </row>
    <row r="58" spans="1:1" ht="15">
      <c r="A58" s="8"/>
    </row>
    <row r="59" spans="1:1" ht="15">
      <c r="A59" s="8"/>
    </row>
    <row r="60" spans="1:1" ht="15">
      <c r="A60" s="8"/>
    </row>
    <row r="61" spans="1:1" ht="15">
      <c r="A61" s="8"/>
    </row>
    <row r="62" spans="1:1" ht="15">
      <c r="A62" s="8"/>
    </row>
    <row r="63" spans="1:1" ht="15">
      <c r="A63" s="8"/>
    </row>
    <row r="64" spans="1:1" ht="15">
      <c r="A64" s="8"/>
    </row>
    <row r="65" spans="1:1" ht="15">
      <c r="A65" s="8"/>
    </row>
    <row r="66" spans="1:1" ht="15">
      <c r="A66" s="8"/>
    </row>
    <row r="67" spans="1:1" ht="15">
      <c r="A67" s="8"/>
    </row>
    <row r="68" spans="1:1" ht="15">
      <c r="A68" s="8"/>
    </row>
    <row r="69" spans="1:1" ht="15">
      <c r="A69" s="8"/>
    </row>
    <row r="70" spans="1:1" ht="15">
      <c r="A70" s="8"/>
    </row>
    <row r="71" spans="1:1" ht="15">
      <c r="A71" s="8"/>
    </row>
    <row r="72" spans="1:1" ht="15">
      <c r="A72" s="8"/>
    </row>
    <row r="73" spans="1:1" ht="15">
      <c r="A73" s="8"/>
    </row>
    <row r="74" spans="1:1" ht="15">
      <c r="A74" s="8"/>
    </row>
    <row r="75" spans="1:1" ht="15">
      <c r="A75" s="8"/>
    </row>
    <row r="76" spans="1:1" ht="15">
      <c r="A76" s="8"/>
    </row>
    <row r="77" spans="1:1" ht="15">
      <c r="A77" s="8"/>
    </row>
    <row r="78" spans="1:1" ht="15">
      <c r="A78" s="8"/>
    </row>
    <row r="79" spans="1:1" ht="15">
      <c r="A79" s="8"/>
    </row>
    <row r="80" spans="1:1" ht="15">
      <c r="A80" s="8"/>
    </row>
    <row r="81" spans="1:1" ht="15">
      <c r="A81" s="8"/>
    </row>
    <row r="82" spans="1:1" ht="15">
      <c r="A82" s="8"/>
    </row>
    <row r="83" spans="1:1" ht="15">
      <c r="A83" s="8"/>
    </row>
    <row r="84" spans="1:1" ht="15">
      <c r="A84" s="8"/>
    </row>
    <row r="85" spans="1:1" ht="15">
      <c r="A85" s="8"/>
    </row>
    <row r="86" spans="1:1" ht="15">
      <c r="A86" s="8"/>
    </row>
    <row r="87" spans="1:1" ht="15">
      <c r="A87" s="8"/>
    </row>
    <row r="88" spans="1:1" ht="15">
      <c r="A88" s="8"/>
    </row>
    <row r="89" spans="1:1" ht="15">
      <c r="A89" s="8"/>
    </row>
    <row r="90" spans="1:1" ht="15">
      <c r="A90" s="8"/>
    </row>
    <row r="91" spans="1:1" ht="15">
      <c r="A91" s="8"/>
    </row>
    <row r="92" spans="1:1" ht="15">
      <c r="A92" s="8"/>
    </row>
    <row r="93" spans="1:1" ht="15">
      <c r="A93" s="8"/>
    </row>
    <row r="94" spans="1:1" ht="15">
      <c r="A94" s="8"/>
    </row>
    <row r="95" spans="1:1" ht="15">
      <c r="A95" s="8"/>
    </row>
    <row r="96" spans="1:1" ht="15">
      <c r="A96" s="8"/>
    </row>
    <row r="97" spans="1:1" ht="15">
      <c r="A97" s="8"/>
    </row>
    <row r="98" spans="1:1" ht="15">
      <c r="A98" s="8"/>
    </row>
    <row r="99" spans="1:1" ht="15">
      <c r="A99" s="8"/>
    </row>
    <row r="100" spans="1:1" ht="15">
      <c r="A100" s="8"/>
    </row>
    <row r="101" spans="1:1" ht="15">
      <c r="A101" s="8"/>
    </row>
    <row r="102" spans="1:1" ht="15">
      <c r="A102" s="8"/>
    </row>
    <row r="103" spans="1:1" ht="15">
      <c r="A103" s="8"/>
    </row>
    <row r="104" spans="1:1" ht="15">
      <c r="A104" s="8"/>
    </row>
    <row r="105" spans="1:1" ht="15">
      <c r="A105" s="8"/>
    </row>
    <row r="106" spans="1:1" ht="15">
      <c r="A106" s="8"/>
    </row>
    <row r="107" spans="1:1" ht="15">
      <c r="A107" s="8"/>
    </row>
    <row r="108" spans="1:1" ht="15">
      <c r="A108" s="8"/>
    </row>
    <row r="109" spans="1:1" ht="15">
      <c r="A109" s="8"/>
    </row>
    <row r="110" spans="1:1" ht="15">
      <c r="A110" s="8"/>
    </row>
    <row r="111" spans="1:1" ht="15">
      <c r="A111" s="8"/>
    </row>
    <row r="112" spans="1:1" ht="15">
      <c r="A112" s="8"/>
    </row>
    <row r="113" spans="1:1" ht="15">
      <c r="A113" s="8"/>
    </row>
    <row r="114" spans="1:1" ht="15">
      <c r="A114" s="8"/>
    </row>
    <row r="115" spans="1:1" ht="15">
      <c r="A115" s="8"/>
    </row>
    <row r="116" spans="1:1" ht="15">
      <c r="A116" s="8"/>
    </row>
    <row r="117" spans="1:1" ht="15">
      <c r="A117" s="8"/>
    </row>
    <row r="118" spans="1:1" ht="15">
      <c r="A118" s="8"/>
    </row>
    <row r="119" spans="1:1" ht="15">
      <c r="A119" s="8"/>
    </row>
    <row r="120" spans="1:1" ht="15">
      <c r="A120" s="8"/>
    </row>
    <row r="121" spans="1:1" ht="15">
      <c r="A121" s="8"/>
    </row>
    <row r="122" spans="1:1" ht="15">
      <c r="A122" s="8"/>
    </row>
    <row r="123" spans="1:1" ht="15">
      <c r="A123" s="8"/>
    </row>
    <row r="124" spans="1:1" ht="15">
      <c r="A124" s="8"/>
    </row>
    <row r="125" spans="1:1" ht="15">
      <c r="A125" s="8"/>
    </row>
    <row r="126" spans="1:1" ht="15">
      <c r="A126" s="8"/>
    </row>
    <row r="127" spans="1:1" ht="15">
      <c r="A127" s="8"/>
    </row>
    <row r="128" spans="1:1" ht="15">
      <c r="A128" s="8"/>
    </row>
    <row r="129" spans="1:1" ht="15">
      <c r="A129" s="8"/>
    </row>
    <row r="130" spans="1:1" ht="15">
      <c r="A130" s="8"/>
    </row>
    <row r="131" spans="1:1" ht="15">
      <c r="A131" s="8"/>
    </row>
    <row r="132" spans="1:1" ht="15">
      <c r="A132" s="8"/>
    </row>
    <row r="133" spans="1:1" ht="15">
      <c r="A133" s="8"/>
    </row>
    <row r="134" spans="1:1" ht="15">
      <c r="A134" s="8"/>
    </row>
    <row r="135" spans="1:1" ht="15">
      <c r="A135" s="8"/>
    </row>
    <row r="136" spans="1:1" ht="15">
      <c r="A136" s="8"/>
    </row>
    <row r="137" spans="1:1" ht="15">
      <c r="A137" s="8"/>
    </row>
    <row r="138" spans="1:1" ht="15">
      <c r="A138" s="8"/>
    </row>
    <row r="139" spans="1:1" ht="15">
      <c r="A139" s="8"/>
    </row>
    <row r="140" spans="1:1" ht="15">
      <c r="A140" s="8"/>
    </row>
    <row r="141" spans="1:1" ht="15">
      <c r="A141" s="8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C45B-1B2E-4431-B279-5461D54BFD1C}">
  <dimension ref="A1:Z658"/>
  <sheetViews>
    <sheetView tabSelected="1" topLeftCell="F1" workbookViewId="0">
      <pane ySplit="2" topLeftCell="A28" activePane="bottomLeft" state="frozen"/>
      <selection pane="bottomLeft" activeCell="AA32" sqref="AA32"/>
    </sheetView>
  </sheetViews>
  <sheetFormatPr defaultColWidth="11.42578125" defaultRowHeight="14.45"/>
  <cols>
    <col min="1" max="1" width="20.42578125" bestFit="1" customWidth="1"/>
    <col min="2" max="2" width="10.85546875" bestFit="1" customWidth="1"/>
    <col min="3" max="3" width="11.5703125" bestFit="1" customWidth="1"/>
    <col min="4" max="4" width="16.140625" bestFit="1" customWidth="1"/>
    <col min="5" max="5" width="17.42578125" bestFit="1" customWidth="1"/>
    <col min="6" max="7" width="12.5703125" bestFit="1" customWidth="1"/>
    <col min="9" max="9" width="12.5703125" bestFit="1" customWidth="1"/>
    <col min="10" max="10" width="43.28515625" bestFit="1" customWidth="1"/>
    <col min="11" max="11" width="10.5703125" bestFit="1" customWidth="1"/>
    <col min="12" max="12" width="10.85546875" bestFit="1" customWidth="1"/>
    <col min="13" max="13" width="12.28515625" bestFit="1" customWidth="1"/>
    <col min="14" max="14" width="17.28515625" bestFit="1" customWidth="1"/>
    <col min="15" max="15" width="18.42578125" bestFit="1" customWidth="1"/>
    <col min="16" max="16" width="18" bestFit="1" customWidth="1"/>
    <col min="17" max="17" width="9.85546875" bestFit="1" customWidth="1"/>
    <col min="18" max="18" width="15" bestFit="1" customWidth="1"/>
    <col min="22" max="22" width="43.28515625" bestFit="1" customWidth="1"/>
    <col min="23" max="23" width="12.140625" bestFit="1" customWidth="1"/>
    <col min="24" max="24" width="13.140625" bestFit="1" customWidth="1"/>
    <col min="26" max="26" width="43.28515625" bestFit="1" customWidth="1"/>
    <col min="27" max="27" width="12.140625" bestFit="1" customWidth="1"/>
    <col min="29" max="29" width="47" customWidth="1"/>
  </cols>
  <sheetData>
    <row r="1" spans="1:26" ht="18.75">
      <c r="A1" s="4" t="s">
        <v>32</v>
      </c>
      <c r="I1" s="4" t="s">
        <v>33</v>
      </c>
      <c r="V1" s="12" t="s">
        <v>34</v>
      </c>
      <c r="W1" s="12"/>
      <c r="X1" s="12"/>
      <c r="Z1" s="2" t="s">
        <v>35</v>
      </c>
    </row>
    <row r="2" spans="1:26" ht="1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I2" s="2" t="s">
        <v>43</v>
      </c>
      <c r="J2" s="2" t="s">
        <v>44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45</v>
      </c>
      <c r="Q2" s="2" t="s">
        <v>46</v>
      </c>
      <c r="R2" s="2" t="s">
        <v>47</v>
      </c>
      <c r="V2" s="2" t="s">
        <v>44</v>
      </c>
      <c r="W2" s="2" t="s">
        <v>48</v>
      </c>
      <c r="X2" s="2" t="s">
        <v>49</v>
      </c>
      <c r="Z2" t="s">
        <v>44</v>
      </c>
    </row>
    <row r="3" spans="1:26" ht="15">
      <c r="A3" t="s">
        <v>50</v>
      </c>
      <c r="B3" s="1">
        <v>46184</v>
      </c>
      <c r="C3" t="s">
        <v>51</v>
      </c>
      <c r="D3" t="s">
        <v>52</v>
      </c>
      <c r="E3" t="s">
        <v>53</v>
      </c>
      <c r="I3" s="2"/>
      <c r="J3" s="2"/>
      <c r="K3" s="2"/>
      <c r="L3" s="9"/>
      <c r="M3" s="2"/>
      <c r="N3" s="2"/>
      <c r="O3" s="2"/>
      <c r="P3" s="2"/>
      <c r="Q3" s="2"/>
      <c r="R3" s="2"/>
      <c r="V3" s="11" t="str" cm="1">
        <f t="array" ref="V3">IFERROR(INDEX(_xlfn.ANCHORARRAY(_Calc!$A$2),ROW()-ROW($V$2),1),"")</f>
        <v/>
      </c>
      <c r="W3" s="11" t="str" cm="1">
        <f t="array" ref="W3">IFERROR(INDEX(_xlfn.ANCHORARRAY(_Calc!$A$2),ROW()-ROW($V$2),2),"")</f>
        <v/>
      </c>
      <c r="X3" s="10" t="str" cm="1">
        <f t="array" ref="X3">IFERROR(INDEX(_xlfn.ANCHORARRAY(_Calc!$A$2),ROW()-ROW($V$2),3),"")</f>
        <v/>
      </c>
      <c r="Z3" t="str" cm="1">
        <f t="array" ref="Z3">IFERROR(INDEX(_xlfn.ANCHORARRAY(_Calc!$A$2),ROW()-ROW($Z$2),1),"")</f>
        <v/>
      </c>
    </row>
    <row r="4" spans="1:26" ht="15">
      <c r="A4" t="s">
        <v>54</v>
      </c>
      <c r="B4" s="1">
        <v>46184</v>
      </c>
      <c r="C4" t="s">
        <v>51</v>
      </c>
      <c r="D4" t="s">
        <v>55</v>
      </c>
      <c r="E4" t="s">
        <v>56</v>
      </c>
      <c r="Z4" t="str" cm="1">
        <f t="array" ref="Z4">IFERROR(INDEX(_xlfn.ANCHORARRAY(_Calc!$A$2),ROW()-ROW($Z$2),1),"")</f>
        <v/>
      </c>
    </row>
    <row r="5" spans="1:26" ht="15">
      <c r="A5" t="s">
        <v>57</v>
      </c>
      <c r="B5" s="1">
        <v>46185</v>
      </c>
      <c r="C5" t="s">
        <v>58</v>
      </c>
      <c r="D5" t="s">
        <v>59</v>
      </c>
      <c r="E5" t="s">
        <v>60</v>
      </c>
      <c r="Z5" t="str" cm="1">
        <f t="array" ref="Z5">IFERROR(INDEX(_xlfn.ANCHORARRAY(_Calc!$A$2),ROW()-ROW($Z$2),1),"")</f>
        <v/>
      </c>
    </row>
    <row r="6" spans="1:26" ht="15">
      <c r="A6" t="s">
        <v>61</v>
      </c>
      <c r="B6" s="1">
        <v>46185</v>
      </c>
      <c r="C6" t="s">
        <v>62</v>
      </c>
      <c r="D6" t="s">
        <v>63</v>
      </c>
      <c r="E6" t="s">
        <v>64</v>
      </c>
      <c r="Z6" t="str" cm="1">
        <f t="array" ref="Z6">IFERROR(INDEX(_xlfn.ANCHORARRAY(_Calc!$A$2),ROW()-ROW($Z$2),1),"")</f>
        <v/>
      </c>
    </row>
    <row r="7" spans="1:26" ht="15">
      <c r="A7" t="s">
        <v>65</v>
      </c>
      <c r="B7" s="1">
        <v>46186</v>
      </c>
      <c r="C7" t="s">
        <v>66</v>
      </c>
      <c r="D7" t="s">
        <v>67</v>
      </c>
      <c r="E7" t="s">
        <v>68</v>
      </c>
      <c r="Z7" t="str" cm="1">
        <f t="array" ref="Z7">IFERROR(INDEX(_xlfn.ANCHORARRAY(_Calc!$A$2),ROW()-ROW($Z$2),1),"")</f>
        <v/>
      </c>
    </row>
    <row r="8" spans="1:26" ht="15">
      <c r="A8" t="s">
        <v>69</v>
      </c>
      <c r="B8" s="1">
        <v>46186</v>
      </c>
      <c r="C8" t="s">
        <v>62</v>
      </c>
      <c r="D8" t="s">
        <v>70</v>
      </c>
      <c r="E8" t="s">
        <v>71</v>
      </c>
      <c r="Z8" t="str" cm="1">
        <f t="array" ref="Z8">IFERROR(INDEX(_xlfn.ANCHORARRAY(_Calc!$A$2),ROW()-ROW($Z$2),1),"")</f>
        <v/>
      </c>
    </row>
    <row r="9" spans="1:26" ht="15">
      <c r="A9" t="s">
        <v>72</v>
      </c>
      <c r="B9" s="1">
        <v>46186</v>
      </c>
      <c r="C9" t="s">
        <v>66</v>
      </c>
      <c r="D9" t="s">
        <v>73</v>
      </c>
      <c r="E9" t="s">
        <v>74</v>
      </c>
      <c r="Z9" t="str" cm="1">
        <f t="array" ref="Z9">IFERROR(INDEX(_xlfn.ANCHORARRAY(_Calc!$A$2),ROW()-ROW($Z$2),1),"")</f>
        <v/>
      </c>
    </row>
    <row r="10" spans="1:26" ht="15">
      <c r="A10" t="s">
        <v>75</v>
      </c>
      <c r="B10" s="1">
        <v>46186</v>
      </c>
      <c r="C10" t="s">
        <v>58</v>
      </c>
      <c r="D10" t="s">
        <v>76</v>
      </c>
      <c r="E10" t="s">
        <v>77</v>
      </c>
      <c r="Z10" t="str" cm="1">
        <f t="array" ref="Z10">IFERROR(INDEX(_xlfn.ANCHORARRAY(_Calc!$A$2),ROW()-ROW($Z$2),1),"")</f>
        <v/>
      </c>
    </row>
    <row r="11" spans="1:26" ht="15">
      <c r="A11" t="s">
        <v>78</v>
      </c>
      <c r="B11" s="1">
        <v>46187</v>
      </c>
      <c r="C11" t="s">
        <v>79</v>
      </c>
      <c r="D11" t="s">
        <v>80</v>
      </c>
      <c r="E11" t="s">
        <v>81</v>
      </c>
      <c r="Z11" t="str" cm="1">
        <f t="array" ref="Z11">IFERROR(INDEX(_xlfn.ANCHORARRAY(_Calc!$A$2),ROW()-ROW($Z$2),1),"")</f>
        <v/>
      </c>
    </row>
    <row r="12" spans="1:26" ht="15">
      <c r="A12" t="s">
        <v>82</v>
      </c>
      <c r="B12" s="1">
        <v>46187</v>
      </c>
      <c r="C12" t="s">
        <v>79</v>
      </c>
      <c r="D12" t="s">
        <v>83</v>
      </c>
      <c r="E12" t="s">
        <v>84</v>
      </c>
      <c r="Z12" t="str" cm="1">
        <f t="array" ref="Z12">IFERROR(INDEX(_xlfn.ANCHORARRAY(_Calc!$A$2),ROW()-ROW($Z$2),1),"")</f>
        <v/>
      </c>
    </row>
    <row r="13" spans="1:26" ht="15">
      <c r="A13" t="s">
        <v>85</v>
      </c>
      <c r="B13" s="1">
        <v>46187</v>
      </c>
      <c r="C13" t="s">
        <v>86</v>
      </c>
      <c r="D13" t="s">
        <v>87</v>
      </c>
      <c r="E13" t="s">
        <v>88</v>
      </c>
      <c r="Z13" t="str" cm="1">
        <f t="array" ref="Z13">IFERROR(INDEX(_xlfn.ANCHORARRAY(_Calc!$A$2),ROW()-ROW($Z$2),1),"")</f>
        <v/>
      </c>
    </row>
    <row r="14" spans="1:26" ht="15">
      <c r="A14" t="s">
        <v>89</v>
      </c>
      <c r="B14" s="1">
        <v>46187</v>
      </c>
      <c r="C14" t="s">
        <v>86</v>
      </c>
      <c r="D14" t="s">
        <v>90</v>
      </c>
      <c r="E14" t="s">
        <v>91</v>
      </c>
      <c r="Z14" t="str" cm="1">
        <f t="array" ref="Z14">IFERROR(INDEX(_xlfn.ANCHORARRAY(_Calc!$A$2),ROW()-ROW($Z$2),1),"")</f>
        <v/>
      </c>
    </row>
    <row r="15" spans="1:26" ht="15">
      <c r="A15" t="s">
        <v>92</v>
      </c>
      <c r="B15" s="1">
        <v>46188</v>
      </c>
      <c r="C15" t="s">
        <v>93</v>
      </c>
      <c r="D15" t="s">
        <v>94</v>
      </c>
      <c r="E15" t="s">
        <v>95</v>
      </c>
      <c r="Z15" t="str" cm="1">
        <f t="array" ref="Z15">IFERROR(INDEX(_xlfn.ANCHORARRAY(_Calc!$A$2),ROW()-ROW($Z$2),1),"")</f>
        <v/>
      </c>
    </row>
    <row r="16" spans="1:26" ht="15">
      <c r="A16" t="s">
        <v>96</v>
      </c>
      <c r="B16" s="1">
        <v>46188</v>
      </c>
      <c r="C16" t="s">
        <v>93</v>
      </c>
      <c r="D16" t="s">
        <v>97</v>
      </c>
      <c r="E16" t="s">
        <v>98</v>
      </c>
      <c r="Z16" t="str" cm="1">
        <f t="array" ref="Z16">IFERROR(INDEX(_xlfn.ANCHORARRAY(_Calc!$A$2),ROW()-ROW($Z$2),1),"")</f>
        <v/>
      </c>
    </row>
    <row r="17" spans="1:26" ht="15">
      <c r="A17" t="s">
        <v>99</v>
      </c>
      <c r="B17" s="1">
        <v>46188</v>
      </c>
      <c r="C17" t="s">
        <v>100</v>
      </c>
      <c r="D17" t="s">
        <v>101</v>
      </c>
      <c r="E17" t="s">
        <v>102</v>
      </c>
      <c r="Z17" t="str" cm="1">
        <f t="array" ref="Z17">IFERROR(INDEX(_xlfn.ANCHORARRAY(_Calc!$A$2),ROW()-ROW($Z$2),1),"")</f>
        <v/>
      </c>
    </row>
    <row r="18" spans="1:26" ht="15">
      <c r="A18" t="s">
        <v>103</v>
      </c>
      <c r="B18" s="1">
        <v>46188</v>
      </c>
      <c r="C18" t="s">
        <v>100</v>
      </c>
      <c r="D18" t="s">
        <v>104</v>
      </c>
      <c r="E18" t="s">
        <v>105</v>
      </c>
      <c r="Z18" t="str" cm="1">
        <f t="array" ref="Z18">IFERROR(INDEX(_xlfn.ANCHORARRAY(_Calc!$A$2),ROW()-ROW($Z$2),1),"")</f>
        <v/>
      </c>
    </row>
    <row r="19" spans="1:26" ht="15">
      <c r="A19" t="s">
        <v>106</v>
      </c>
      <c r="B19" s="1">
        <v>46189</v>
      </c>
      <c r="C19" t="s">
        <v>107</v>
      </c>
      <c r="D19" t="s">
        <v>108</v>
      </c>
      <c r="E19" t="s">
        <v>109</v>
      </c>
      <c r="Z19" t="str" cm="1">
        <f t="array" ref="Z19">IFERROR(INDEX(_xlfn.ANCHORARRAY(_Calc!$A$2),ROW()-ROW($Z$2),1),"")</f>
        <v/>
      </c>
    </row>
    <row r="20" spans="1:26" ht="15">
      <c r="A20" t="s">
        <v>110</v>
      </c>
      <c r="B20" s="1">
        <v>46189</v>
      </c>
      <c r="C20" t="s">
        <v>107</v>
      </c>
      <c r="D20" t="s">
        <v>111</v>
      </c>
      <c r="E20" t="s">
        <v>112</v>
      </c>
      <c r="Z20" t="str" cm="1">
        <f t="array" ref="Z20">IFERROR(INDEX(_xlfn.ANCHORARRAY(_Calc!$A$2),ROW()-ROW($Z$2),1),"")</f>
        <v/>
      </c>
    </row>
    <row r="21" spans="1:26" ht="15">
      <c r="A21" t="s">
        <v>113</v>
      </c>
      <c r="B21" s="1">
        <v>46189</v>
      </c>
      <c r="C21" t="s">
        <v>114</v>
      </c>
      <c r="D21" t="s">
        <v>115</v>
      </c>
      <c r="E21" t="s">
        <v>116</v>
      </c>
      <c r="Z21" t="str" cm="1">
        <f t="array" ref="Z21">IFERROR(INDEX(_xlfn.ANCHORARRAY(_Calc!$A$2),ROW()-ROW($Z$2),1),"")</f>
        <v/>
      </c>
    </row>
    <row r="22" spans="1:26" ht="15">
      <c r="A22" t="s">
        <v>117</v>
      </c>
      <c r="B22" s="1">
        <v>46189</v>
      </c>
      <c r="C22" t="s">
        <v>114</v>
      </c>
      <c r="D22" t="s">
        <v>118</v>
      </c>
      <c r="E22" t="s">
        <v>119</v>
      </c>
      <c r="Z22" t="str" cm="1">
        <f t="array" ref="Z22">IFERROR(INDEX(_xlfn.ANCHORARRAY(_Calc!$A$2),ROW()-ROW($Z$2),1),"")</f>
        <v/>
      </c>
    </row>
    <row r="23" spans="1:26" ht="15">
      <c r="A23" t="s">
        <v>120</v>
      </c>
      <c r="B23" s="1">
        <v>46190</v>
      </c>
      <c r="C23" t="s">
        <v>121</v>
      </c>
      <c r="D23" t="s">
        <v>122</v>
      </c>
      <c r="E23" t="s">
        <v>123</v>
      </c>
      <c r="Z23" t="str" cm="1">
        <f t="array" ref="Z23">IFERROR(INDEX(_xlfn.ANCHORARRAY(_Calc!$A$2),ROW()-ROW($Z$2),1),"")</f>
        <v/>
      </c>
    </row>
    <row r="24" spans="1:26" ht="15">
      <c r="A24" t="s">
        <v>124</v>
      </c>
      <c r="B24" s="1">
        <v>46190</v>
      </c>
      <c r="C24" t="s">
        <v>121</v>
      </c>
      <c r="D24" t="s">
        <v>125</v>
      </c>
      <c r="E24" t="s">
        <v>126</v>
      </c>
      <c r="Z24" t="str" cm="1">
        <f t="array" ref="Z24">IFERROR(INDEX(_xlfn.ANCHORARRAY(_Calc!$A$2),ROW()-ROW($Z$2),1),"")</f>
        <v/>
      </c>
    </row>
    <row r="25" spans="1:26" ht="15">
      <c r="A25" t="s">
        <v>127</v>
      </c>
      <c r="B25" s="1">
        <v>46190</v>
      </c>
      <c r="C25" t="s">
        <v>128</v>
      </c>
      <c r="D25" t="s">
        <v>129</v>
      </c>
      <c r="E25" t="s">
        <v>130</v>
      </c>
      <c r="Z25" t="str" cm="1">
        <f t="array" ref="Z25">IFERROR(INDEX(_xlfn.ANCHORARRAY(_Calc!$A$2),ROW()-ROW($Z$2),1),"")</f>
        <v/>
      </c>
    </row>
    <row r="26" spans="1:26" ht="15">
      <c r="A26" t="s">
        <v>131</v>
      </c>
      <c r="B26" s="1">
        <v>46190</v>
      </c>
      <c r="C26" t="s">
        <v>128</v>
      </c>
      <c r="D26" t="s">
        <v>132</v>
      </c>
      <c r="E26" t="s">
        <v>133</v>
      </c>
      <c r="Z26" t="str" cm="1">
        <f t="array" ref="Z26">IFERROR(INDEX(_xlfn.ANCHORARRAY(_Calc!$A$2),ROW()-ROW($Z$2),1),"")</f>
        <v/>
      </c>
    </row>
    <row r="27" spans="1:26" ht="15">
      <c r="A27" t="s">
        <v>134</v>
      </c>
      <c r="B27" s="1">
        <v>46191</v>
      </c>
      <c r="C27" t="s">
        <v>51</v>
      </c>
      <c r="D27" t="s">
        <v>56</v>
      </c>
      <c r="E27" t="s">
        <v>53</v>
      </c>
    </row>
    <row r="28" spans="1:26" ht="15">
      <c r="A28" t="s">
        <v>135</v>
      </c>
      <c r="B28" s="1">
        <v>46191</v>
      </c>
      <c r="C28" t="s">
        <v>58</v>
      </c>
      <c r="D28" t="s">
        <v>77</v>
      </c>
      <c r="E28" t="s">
        <v>60</v>
      </c>
    </row>
    <row r="29" spans="1:26" ht="15">
      <c r="A29" t="s">
        <v>136</v>
      </c>
      <c r="B29" s="1">
        <v>46191</v>
      </c>
      <c r="C29" t="s">
        <v>58</v>
      </c>
      <c r="D29" t="s">
        <v>59</v>
      </c>
      <c r="E29" t="s">
        <v>76</v>
      </c>
    </row>
    <row r="30" spans="1:26" ht="15">
      <c r="A30" t="s">
        <v>137</v>
      </c>
      <c r="B30" s="1">
        <v>46191</v>
      </c>
      <c r="C30" t="s">
        <v>51</v>
      </c>
      <c r="D30" t="s">
        <v>52</v>
      </c>
      <c r="E30" t="s">
        <v>55</v>
      </c>
    </row>
    <row r="31" spans="1:26" ht="15">
      <c r="A31" t="s">
        <v>138</v>
      </c>
      <c r="B31" s="1">
        <v>46192</v>
      </c>
      <c r="C31" t="s">
        <v>66</v>
      </c>
      <c r="D31" t="s">
        <v>67</v>
      </c>
      <c r="E31" t="s">
        <v>73</v>
      </c>
    </row>
    <row r="32" spans="1:26" ht="15">
      <c r="A32" t="s">
        <v>139</v>
      </c>
      <c r="B32" s="1">
        <v>46192</v>
      </c>
      <c r="C32" t="s">
        <v>66</v>
      </c>
      <c r="D32" t="s">
        <v>74</v>
      </c>
      <c r="E32" t="s">
        <v>68</v>
      </c>
    </row>
    <row r="33" spans="1:5" ht="15">
      <c r="A33" t="s">
        <v>140</v>
      </c>
      <c r="B33" s="1">
        <v>46192</v>
      </c>
      <c r="C33" t="s">
        <v>62</v>
      </c>
      <c r="D33" t="s">
        <v>71</v>
      </c>
      <c r="E33" t="s">
        <v>64</v>
      </c>
    </row>
    <row r="34" spans="1:5" ht="15">
      <c r="A34" t="s">
        <v>141</v>
      </c>
      <c r="B34" s="1">
        <v>46192</v>
      </c>
      <c r="C34" t="s">
        <v>62</v>
      </c>
      <c r="D34" t="s">
        <v>63</v>
      </c>
      <c r="E34" t="s">
        <v>70</v>
      </c>
    </row>
    <row r="35" spans="1:5" ht="15">
      <c r="A35" t="s">
        <v>142</v>
      </c>
      <c r="B35" s="1">
        <v>46193</v>
      </c>
      <c r="C35" t="s">
        <v>79</v>
      </c>
      <c r="D35" t="s">
        <v>83</v>
      </c>
      <c r="E35" t="s">
        <v>80</v>
      </c>
    </row>
    <row r="36" spans="1:5" ht="15">
      <c r="A36" t="s">
        <v>143</v>
      </c>
      <c r="B36" s="1">
        <v>46193</v>
      </c>
      <c r="C36" t="s">
        <v>79</v>
      </c>
      <c r="D36" t="s">
        <v>81</v>
      </c>
      <c r="E36" t="s">
        <v>84</v>
      </c>
    </row>
    <row r="37" spans="1:5" ht="15">
      <c r="A37" t="s">
        <v>144</v>
      </c>
      <c r="B37" s="1">
        <v>46193</v>
      </c>
      <c r="C37" t="s">
        <v>86</v>
      </c>
      <c r="D37" t="s">
        <v>87</v>
      </c>
      <c r="E37" t="s">
        <v>90</v>
      </c>
    </row>
    <row r="38" spans="1:5" ht="15">
      <c r="A38" t="s">
        <v>145</v>
      </c>
      <c r="B38" s="1">
        <v>46193</v>
      </c>
      <c r="C38" t="s">
        <v>86</v>
      </c>
      <c r="D38" t="s">
        <v>91</v>
      </c>
      <c r="E38" t="s">
        <v>88</v>
      </c>
    </row>
    <row r="39" spans="1:5" ht="15">
      <c r="A39" t="s">
        <v>146</v>
      </c>
      <c r="B39" s="1">
        <v>46194</v>
      </c>
      <c r="C39" t="s">
        <v>93</v>
      </c>
      <c r="D39" t="s">
        <v>95</v>
      </c>
      <c r="E39" t="s">
        <v>98</v>
      </c>
    </row>
    <row r="40" spans="1:5" ht="15">
      <c r="A40" t="s">
        <v>147</v>
      </c>
      <c r="B40" s="1">
        <v>46194</v>
      </c>
      <c r="C40" t="s">
        <v>93</v>
      </c>
      <c r="D40" t="s">
        <v>97</v>
      </c>
      <c r="E40" t="s">
        <v>94</v>
      </c>
    </row>
    <row r="41" spans="1:5" ht="15">
      <c r="A41" t="s">
        <v>148</v>
      </c>
      <c r="B41" s="1">
        <v>46194</v>
      </c>
      <c r="C41" t="s">
        <v>100</v>
      </c>
      <c r="D41" t="s">
        <v>104</v>
      </c>
      <c r="E41" t="s">
        <v>101</v>
      </c>
    </row>
    <row r="42" spans="1:5" ht="15">
      <c r="A42" t="s">
        <v>149</v>
      </c>
      <c r="B42" s="1">
        <v>46194</v>
      </c>
      <c r="C42" t="s">
        <v>100</v>
      </c>
      <c r="D42" t="s">
        <v>102</v>
      </c>
      <c r="E42" t="s">
        <v>105</v>
      </c>
    </row>
    <row r="43" spans="1:5" ht="15">
      <c r="A43" t="s">
        <v>150</v>
      </c>
      <c r="B43" s="1">
        <v>46195</v>
      </c>
      <c r="C43" t="s">
        <v>107</v>
      </c>
      <c r="D43" t="s">
        <v>112</v>
      </c>
      <c r="E43" t="s">
        <v>109</v>
      </c>
    </row>
    <row r="44" spans="1:5" ht="15">
      <c r="A44" t="s">
        <v>151</v>
      </c>
      <c r="B44" s="1">
        <v>46195</v>
      </c>
      <c r="C44" t="s">
        <v>107</v>
      </c>
      <c r="D44" t="s">
        <v>108</v>
      </c>
      <c r="E44" t="s">
        <v>111</v>
      </c>
    </row>
    <row r="45" spans="1:5" ht="15">
      <c r="A45" t="s">
        <v>152</v>
      </c>
      <c r="B45" s="1">
        <v>46195</v>
      </c>
      <c r="C45" t="s">
        <v>114</v>
      </c>
      <c r="D45" t="s">
        <v>115</v>
      </c>
      <c r="E45" t="s">
        <v>118</v>
      </c>
    </row>
    <row r="46" spans="1:5" ht="15">
      <c r="A46" t="s">
        <v>153</v>
      </c>
      <c r="B46" s="1">
        <v>46195</v>
      </c>
      <c r="C46" t="s">
        <v>114</v>
      </c>
      <c r="D46" t="s">
        <v>119</v>
      </c>
      <c r="E46" t="s">
        <v>116</v>
      </c>
    </row>
    <row r="47" spans="1:5" ht="15">
      <c r="A47" t="s">
        <v>154</v>
      </c>
      <c r="B47" s="1">
        <v>46196</v>
      </c>
      <c r="C47" t="s">
        <v>121</v>
      </c>
      <c r="D47" t="s">
        <v>125</v>
      </c>
      <c r="E47" t="s">
        <v>122</v>
      </c>
    </row>
    <row r="48" spans="1:5" ht="15">
      <c r="A48" t="s">
        <v>155</v>
      </c>
      <c r="B48" s="1">
        <v>46196</v>
      </c>
      <c r="C48" t="s">
        <v>121</v>
      </c>
      <c r="D48" t="s">
        <v>123</v>
      </c>
      <c r="E48" t="s">
        <v>126</v>
      </c>
    </row>
    <row r="49" spans="1:5" ht="15">
      <c r="A49" t="s">
        <v>156</v>
      </c>
      <c r="B49" s="1">
        <v>46196</v>
      </c>
      <c r="C49" t="s">
        <v>128</v>
      </c>
      <c r="D49" t="s">
        <v>129</v>
      </c>
      <c r="E49" t="s">
        <v>132</v>
      </c>
    </row>
    <row r="50" spans="1:5" ht="15">
      <c r="A50" t="s">
        <v>157</v>
      </c>
      <c r="B50" s="1">
        <v>46196</v>
      </c>
      <c r="C50" t="s">
        <v>128</v>
      </c>
      <c r="D50" t="s">
        <v>133</v>
      </c>
      <c r="E50" t="s">
        <v>130</v>
      </c>
    </row>
    <row r="51" spans="1:5" ht="15">
      <c r="A51" t="s">
        <v>158</v>
      </c>
      <c r="B51" s="1">
        <v>46197</v>
      </c>
      <c r="C51" t="s">
        <v>66</v>
      </c>
      <c r="D51" t="s">
        <v>74</v>
      </c>
      <c r="E51" t="s">
        <v>67</v>
      </c>
    </row>
    <row r="52" spans="1:5" ht="15">
      <c r="A52" t="s">
        <v>159</v>
      </c>
      <c r="B52" s="1">
        <v>46197</v>
      </c>
      <c r="C52" t="s">
        <v>66</v>
      </c>
      <c r="D52" t="s">
        <v>68</v>
      </c>
      <c r="E52" t="s">
        <v>73</v>
      </c>
    </row>
    <row r="53" spans="1:5" ht="15">
      <c r="A53" t="s">
        <v>160</v>
      </c>
      <c r="B53" s="1">
        <v>46197</v>
      </c>
      <c r="C53" t="s">
        <v>58</v>
      </c>
      <c r="D53" t="s">
        <v>77</v>
      </c>
      <c r="E53" t="s">
        <v>59</v>
      </c>
    </row>
    <row r="54" spans="1:5" ht="15">
      <c r="A54" t="s">
        <v>161</v>
      </c>
      <c r="B54" s="1">
        <v>46197</v>
      </c>
      <c r="C54" t="s">
        <v>58</v>
      </c>
      <c r="D54" t="s">
        <v>60</v>
      </c>
      <c r="E54" t="s">
        <v>76</v>
      </c>
    </row>
    <row r="55" spans="1:5" ht="15">
      <c r="A55" t="s">
        <v>162</v>
      </c>
      <c r="B55" s="1">
        <v>46197</v>
      </c>
      <c r="C55" t="s">
        <v>51</v>
      </c>
      <c r="D55" t="s">
        <v>56</v>
      </c>
      <c r="E55" t="s">
        <v>52</v>
      </c>
    </row>
    <row r="56" spans="1:5" ht="15">
      <c r="A56" t="s">
        <v>163</v>
      </c>
      <c r="B56" s="1">
        <v>46197</v>
      </c>
      <c r="C56" t="s">
        <v>51</v>
      </c>
      <c r="D56" t="s">
        <v>53</v>
      </c>
      <c r="E56" t="s">
        <v>55</v>
      </c>
    </row>
    <row r="57" spans="1:5" ht="15">
      <c r="A57" t="s">
        <v>164</v>
      </c>
      <c r="B57" s="1">
        <v>46198</v>
      </c>
      <c r="C57" t="s">
        <v>79</v>
      </c>
      <c r="D57" t="s">
        <v>84</v>
      </c>
      <c r="E57" t="s">
        <v>80</v>
      </c>
    </row>
    <row r="58" spans="1:5" ht="15">
      <c r="A58" t="s">
        <v>165</v>
      </c>
      <c r="B58" s="1">
        <v>46198</v>
      </c>
      <c r="C58" t="s">
        <v>79</v>
      </c>
      <c r="D58" t="s">
        <v>81</v>
      </c>
      <c r="E58" t="s">
        <v>83</v>
      </c>
    </row>
    <row r="59" spans="1:5" ht="15">
      <c r="A59" t="s">
        <v>166</v>
      </c>
      <c r="B59" s="1">
        <v>46198</v>
      </c>
      <c r="C59" t="s">
        <v>86</v>
      </c>
      <c r="D59" t="s">
        <v>88</v>
      </c>
      <c r="E59" t="s">
        <v>90</v>
      </c>
    </row>
    <row r="60" spans="1:5" ht="15">
      <c r="A60" t="s">
        <v>167</v>
      </c>
      <c r="B60" s="1">
        <v>46198</v>
      </c>
      <c r="C60" t="s">
        <v>86</v>
      </c>
      <c r="D60" t="s">
        <v>91</v>
      </c>
      <c r="E60" t="s">
        <v>87</v>
      </c>
    </row>
    <row r="61" spans="1:5" ht="15">
      <c r="A61" t="s">
        <v>168</v>
      </c>
      <c r="B61" s="1">
        <v>46198</v>
      </c>
      <c r="C61" t="s">
        <v>62</v>
      </c>
      <c r="D61" t="s">
        <v>71</v>
      </c>
      <c r="E61" t="s">
        <v>63</v>
      </c>
    </row>
    <row r="62" spans="1:5" ht="15">
      <c r="A62" t="s">
        <v>169</v>
      </c>
      <c r="B62" s="1">
        <v>46198</v>
      </c>
      <c r="C62" t="s">
        <v>62</v>
      </c>
      <c r="D62" t="s">
        <v>64</v>
      </c>
      <c r="E62" t="s">
        <v>70</v>
      </c>
    </row>
    <row r="63" spans="1:5" ht="15">
      <c r="A63" t="s">
        <v>170</v>
      </c>
      <c r="B63" s="1">
        <v>46199</v>
      </c>
      <c r="C63" t="s">
        <v>107</v>
      </c>
      <c r="D63" t="s">
        <v>112</v>
      </c>
      <c r="E63" t="s">
        <v>108</v>
      </c>
    </row>
    <row r="64" spans="1:5" ht="15">
      <c r="A64" t="s">
        <v>171</v>
      </c>
      <c r="B64" s="1">
        <v>46199</v>
      </c>
      <c r="C64" t="s">
        <v>107</v>
      </c>
      <c r="D64" t="s">
        <v>109</v>
      </c>
      <c r="E64" t="s">
        <v>111</v>
      </c>
    </row>
    <row r="65" spans="1:5" ht="15">
      <c r="A65" t="s">
        <v>172</v>
      </c>
      <c r="B65" s="1">
        <v>46199</v>
      </c>
      <c r="C65" t="s">
        <v>100</v>
      </c>
      <c r="D65" t="s">
        <v>105</v>
      </c>
      <c r="E65" t="s">
        <v>101</v>
      </c>
    </row>
    <row r="66" spans="1:5" ht="15">
      <c r="A66" t="s">
        <v>173</v>
      </c>
      <c r="B66" s="1">
        <v>46199</v>
      </c>
      <c r="C66" t="s">
        <v>100</v>
      </c>
      <c r="D66" t="s">
        <v>102</v>
      </c>
      <c r="E66" t="s">
        <v>104</v>
      </c>
    </row>
    <row r="67" spans="1:5" ht="15">
      <c r="A67" t="s">
        <v>174</v>
      </c>
      <c r="B67" s="1">
        <v>46199</v>
      </c>
      <c r="C67" t="s">
        <v>93</v>
      </c>
      <c r="D67" t="s">
        <v>98</v>
      </c>
      <c r="E67" t="s">
        <v>94</v>
      </c>
    </row>
    <row r="68" spans="1:5" ht="15">
      <c r="A68" t="s">
        <v>175</v>
      </c>
      <c r="B68" s="1">
        <v>46199</v>
      </c>
      <c r="C68" t="s">
        <v>93</v>
      </c>
      <c r="D68" t="s">
        <v>95</v>
      </c>
      <c r="E68" t="s">
        <v>97</v>
      </c>
    </row>
    <row r="69" spans="1:5" ht="15">
      <c r="A69" t="s">
        <v>176</v>
      </c>
      <c r="B69" s="1">
        <v>46200</v>
      </c>
      <c r="C69" t="s">
        <v>121</v>
      </c>
      <c r="D69" t="s">
        <v>123</v>
      </c>
      <c r="E69" t="s">
        <v>125</v>
      </c>
    </row>
    <row r="70" spans="1:5" ht="15">
      <c r="A70" t="s">
        <v>177</v>
      </c>
      <c r="B70" s="1">
        <v>46200</v>
      </c>
      <c r="C70" t="s">
        <v>121</v>
      </c>
      <c r="D70" t="s">
        <v>126</v>
      </c>
      <c r="E70" t="s">
        <v>122</v>
      </c>
    </row>
    <row r="71" spans="1:5" ht="15">
      <c r="A71" t="s">
        <v>178</v>
      </c>
      <c r="B71" s="1">
        <v>46200</v>
      </c>
      <c r="C71" t="s">
        <v>114</v>
      </c>
      <c r="D71" t="s">
        <v>116</v>
      </c>
      <c r="E71" t="s">
        <v>118</v>
      </c>
    </row>
    <row r="72" spans="1:5" ht="15">
      <c r="A72" t="s">
        <v>179</v>
      </c>
      <c r="B72" s="1">
        <v>46200</v>
      </c>
      <c r="C72" t="s">
        <v>114</v>
      </c>
      <c r="D72" t="s">
        <v>119</v>
      </c>
      <c r="E72" t="s">
        <v>115</v>
      </c>
    </row>
    <row r="73" spans="1:5" ht="15">
      <c r="A73" t="s">
        <v>180</v>
      </c>
      <c r="B73" s="1">
        <v>46200</v>
      </c>
      <c r="C73" t="s">
        <v>128</v>
      </c>
      <c r="D73" t="s">
        <v>133</v>
      </c>
      <c r="E73" t="s">
        <v>129</v>
      </c>
    </row>
    <row r="74" spans="1:5" ht="15">
      <c r="A74" t="s">
        <v>181</v>
      </c>
      <c r="B74" s="1">
        <v>46200</v>
      </c>
      <c r="C74" t="s">
        <v>128</v>
      </c>
      <c r="D74" t="s">
        <v>130</v>
      </c>
      <c r="E74" t="s">
        <v>132</v>
      </c>
    </row>
    <row r="75" spans="1:5" ht="15">
      <c r="A75" t="s">
        <v>182</v>
      </c>
      <c r="B75" s="1">
        <v>46201</v>
      </c>
      <c r="C75" t="s">
        <v>183</v>
      </c>
      <c r="D75" t="s">
        <v>184</v>
      </c>
      <c r="E75" t="s">
        <v>185</v>
      </c>
    </row>
    <row r="76" spans="1:5" ht="15">
      <c r="A76" t="s">
        <v>186</v>
      </c>
      <c r="B76" s="1">
        <v>46202</v>
      </c>
      <c r="C76" t="s">
        <v>183</v>
      </c>
      <c r="D76" t="s">
        <v>187</v>
      </c>
      <c r="E76" t="s">
        <v>188</v>
      </c>
    </row>
    <row r="77" spans="1:5" ht="15">
      <c r="A77" t="s">
        <v>189</v>
      </c>
      <c r="B77" s="1">
        <v>46202</v>
      </c>
      <c r="C77" t="s">
        <v>183</v>
      </c>
      <c r="D77" t="s">
        <v>190</v>
      </c>
      <c r="E77" t="s">
        <v>191</v>
      </c>
    </row>
    <row r="78" spans="1:5" ht="15">
      <c r="A78" t="s">
        <v>192</v>
      </c>
      <c r="B78" s="1">
        <v>46202</v>
      </c>
      <c r="C78" t="s">
        <v>183</v>
      </c>
      <c r="D78" t="s">
        <v>193</v>
      </c>
      <c r="E78" t="s">
        <v>194</v>
      </c>
    </row>
    <row r="79" spans="1:5" ht="15">
      <c r="A79" t="s">
        <v>195</v>
      </c>
      <c r="B79" s="1">
        <v>46203</v>
      </c>
      <c r="C79" t="s">
        <v>183</v>
      </c>
      <c r="D79" t="s">
        <v>196</v>
      </c>
      <c r="E79" t="s">
        <v>197</v>
      </c>
    </row>
    <row r="80" spans="1:5" ht="15">
      <c r="A80" t="s">
        <v>198</v>
      </c>
      <c r="B80" s="1">
        <v>46203</v>
      </c>
      <c r="C80" t="s">
        <v>183</v>
      </c>
      <c r="D80" t="s">
        <v>199</v>
      </c>
      <c r="E80" t="s">
        <v>200</v>
      </c>
    </row>
    <row r="81" spans="1:5" ht="15">
      <c r="A81" t="s">
        <v>201</v>
      </c>
      <c r="B81" s="1">
        <v>46203</v>
      </c>
      <c r="C81" t="s">
        <v>183</v>
      </c>
      <c r="D81" t="s">
        <v>202</v>
      </c>
      <c r="E81" t="s">
        <v>203</v>
      </c>
    </row>
    <row r="82" spans="1:5" ht="15">
      <c r="A82" t="s">
        <v>204</v>
      </c>
      <c r="B82" s="1">
        <v>46204</v>
      </c>
      <c r="C82" t="s">
        <v>183</v>
      </c>
      <c r="D82" t="s">
        <v>205</v>
      </c>
      <c r="E82" t="s">
        <v>206</v>
      </c>
    </row>
    <row r="83" spans="1:5" ht="15">
      <c r="A83" t="s">
        <v>207</v>
      </c>
      <c r="B83" s="1">
        <v>46204</v>
      </c>
      <c r="C83" t="s">
        <v>183</v>
      </c>
      <c r="D83" t="s">
        <v>208</v>
      </c>
      <c r="E83" t="s">
        <v>209</v>
      </c>
    </row>
    <row r="84" spans="1:5" ht="15">
      <c r="A84" t="s">
        <v>210</v>
      </c>
      <c r="B84" s="1">
        <v>46204</v>
      </c>
      <c r="C84" t="s">
        <v>183</v>
      </c>
      <c r="D84" t="s">
        <v>211</v>
      </c>
      <c r="E84" t="s">
        <v>212</v>
      </c>
    </row>
    <row r="85" spans="1:5" ht="15">
      <c r="A85" t="s">
        <v>213</v>
      </c>
      <c r="B85" s="1">
        <v>46205</v>
      </c>
      <c r="C85" t="s">
        <v>183</v>
      </c>
      <c r="D85" t="s">
        <v>214</v>
      </c>
      <c r="E85" t="s">
        <v>215</v>
      </c>
    </row>
    <row r="86" spans="1:5" ht="15">
      <c r="A86" t="s">
        <v>216</v>
      </c>
      <c r="B86" s="1">
        <v>46205</v>
      </c>
      <c r="C86" t="s">
        <v>183</v>
      </c>
      <c r="D86" t="s">
        <v>217</v>
      </c>
      <c r="E86" t="s">
        <v>218</v>
      </c>
    </row>
    <row r="87" spans="1:5" ht="15">
      <c r="A87" t="s">
        <v>219</v>
      </c>
      <c r="B87" s="1">
        <v>46205</v>
      </c>
      <c r="C87" t="s">
        <v>183</v>
      </c>
      <c r="D87" t="s">
        <v>220</v>
      </c>
      <c r="E87" t="s">
        <v>221</v>
      </c>
    </row>
    <row r="88" spans="1:5" ht="15">
      <c r="A88" t="s">
        <v>222</v>
      </c>
      <c r="B88" s="1">
        <v>46206</v>
      </c>
      <c r="C88" t="s">
        <v>183</v>
      </c>
      <c r="D88" t="s">
        <v>223</v>
      </c>
      <c r="E88" t="s">
        <v>224</v>
      </c>
    </row>
    <row r="89" spans="1:5" ht="15">
      <c r="A89" t="s">
        <v>225</v>
      </c>
      <c r="B89" s="1">
        <v>46206</v>
      </c>
      <c r="C89" t="s">
        <v>183</v>
      </c>
      <c r="D89" t="s">
        <v>226</v>
      </c>
      <c r="E89" t="s">
        <v>227</v>
      </c>
    </row>
    <row r="90" spans="1:5" ht="15">
      <c r="A90" t="s">
        <v>228</v>
      </c>
      <c r="B90" s="1">
        <v>46206</v>
      </c>
      <c r="C90" t="s">
        <v>183</v>
      </c>
      <c r="D90" t="s">
        <v>229</v>
      </c>
      <c r="E90" t="s">
        <v>230</v>
      </c>
    </row>
    <row r="91" spans="1:5" ht="15">
      <c r="A91" t="s">
        <v>231</v>
      </c>
      <c r="B91" s="1">
        <v>46207</v>
      </c>
      <c r="C91" t="s">
        <v>232</v>
      </c>
      <c r="D91" t="s">
        <v>233</v>
      </c>
      <c r="E91" t="s">
        <v>234</v>
      </c>
    </row>
    <row r="92" spans="1:5" ht="15">
      <c r="A92" t="s">
        <v>235</v>
      </c>
      <c r="B92" s="1">
        <v>46207</v>
      </c>
      <c r="C92" t="s">
        <v>232</v>
      </c>
      <c r="D92" t="s">
        <v>236</v>
      </c>
      <c r="E92" t="s">
        <v>237</v>
      </c>
    </row>
    <row r="93" spans="1:5" ht="15">
      <c r="A93" t="s">
        <v>238</v>
      </c>
      <c r="B93" s="1">
        <v>46208</v>
      </c>
      <c r="C93" t="s">
        <v>232</v>
      </c>
      <c r="D93" t="s">
        <v>239</v>
      </c>
      <c r="E93" t="s">
        <v>240</v>
      </c>
    </row>
    <row r="94" spans="1:5" ht="15">
      <c r="A94" t="s">
        <v>241</v>
      </c>
      <c r="B94" s="1">
        <v>46208</v>
      </c>
      <c r="C94" t="s">
        <v>232</v>
      </c>
      <c r="D94" t="s">
        <v>242</v>
      </c>
      <c r="E94" t="s">
        <v>243</v>
      </c>
    </row>
    <row r="95" spans="1:5" ht="15">
      <c r="A95" t="s">
        <v>244</v>
      </c>
      <c r="B95" s="1">
        <v>46209</v>
      </c>
      <c r="C95" t="s">
        <v>232</v>
      </c>
      <c r="D95" t="s">
        <v>245</v>
      </c>
      <c r="E95" t="s">
        <v>246</v>
      </c>
    </row>
    <row r="96" spans="1:5" ht="15">
      <c r="A96" t="s">
        <v>247</v>
      </c>
      <c r="B96" s="1">
        <v>46209</v>
      </c>
      <c r="C96" t="s">
        <v>232</v>
      </c>
      <c r="D96" t="s">
        <v>248</v>
      </c>
      <c r="E96" t="s">
        <v>249</v>
      </c>
    </row>
    <row r="97" spans="1:21" ht="15">
      <c r="A97" t="s">
        <v>250</v>
      </c>
      <c r="B97" s="1">
        <v>46210</v>
      </c>
      <c r="C97" t="s">
        <v>232</v>
      </c>
      <c r="D97" t="s">
        <v>251</v>
      </c>
      <c r="E97" t="s">
        <v>252</v>
      </c>
    </row>
    <row r="98" spans="1:21" ht="15">
      <c r="A98" t="s">
        <v>253</v>
      </c>
      <c r="B98" s="1">
        <v>46210</v>
      </c>
      <c r="C98" t="s">
        <v>232</v>
      </c>
      <c r="D98" t="s">
        <v>254</v>
      </c>
      <c r="E98" t="s">
        <v>255</v>
      </c>
    </row>
    <row r="99" spans="1:21" ht="15">
      <c r="A99" t="s">
        <v>256</v>
      </c>
      <c r="B99" s="1">
        <v>46212</v>
      </c>
      <c r="C99" t="s">
        <v>257</v>
      </c>
      <c r="D99" t="s">
        <v>258</v>
      </c>
      <c r="E99" t="s">
        <v>259</v>
      </c>
    </row>
    <row r="100" spans="1:21" ht="15">
      <c r="A100" t="s">
        <v>260</v>
      </c>
      <c r="B100" s="1">
        <v>46213</v>
      </c>
      <c r="C100" t="s">
        <v>257</v>
      </c>
      <c r="D100" t="s">
        <v>261</v>
      </c>
      <c r="E100" t="s">
        <v>262</v>
      </c>
    </row>
    <row r="101" spans="1:21" ht="15">
      <c r="A101" t="s">
        <v>263</v>
      </c>
      <c r="B101" s="1">
        <v>46214</v>
      </c>
      <c r="C101" t="s">
        <v>257</v>
      </c>
      <c r="D101" t="s">
        <v>264</v>
      </c>
      <c r="E101" t="s">
        <v>265</v>
      </c>
    </row>
    <row r="102" spans="1:21" ht="15">
      <c r="A102" t="s">
        <v>266</v>
      </c>
      <c r="B102" s="1">
        <v>46214</v>
      </c>
      <c r="C102" t="s">
        <v>257</v>
      </c>
      <c r="D102" t="s">
        <v>267</v>
      </c>
      <c r="E102" t="s">
        <v>268</v>
      </c>
    </row>
    <row r="103" spans="1:21" ht="15">
      <c r="A103" t="s">
        <v>269</v>
      </c>
      <c r="B103" s="1">
        <v>46217</v>
      </c>
      <c r="C103" t="s">
        <v>270</v>
      </c>
      <c r="D103" t="s">
        <v>271</v>
      </c>
      <c r="E103" t="s">
        <v>272</v>
      </c>
    </row>
    <row r="104" spans="1:21" ht="15">
      <c r="A104" t="s">
        <v>273</v>
      </c>
      <c r="B104" s="1">
        <v>46218</v>
      </c>
      <c r="C104" t="s">
        <v>270</v>
      </c>
      <c r="D104" t="s">
        <v>274</v>
      </c>
      <c r="E104" t="s">
        <v>275</v>
      </c>
    </row>
    <row r="105" spans="1:21" ht="15">
      <c r="A105" t="s">
        <v>276</v>
      </c>
      <c r="B105" s="1">
        <v>46221</v>
      </c>
      <c r="C105" t="s">
        <v>277</v>
      </c>
      <c r="D105" t="s">
        <v>278</v>
      </c>
      <c r="E105" t="s">
        <v>279</v>
      </c>
    </row>
    <row r="106" spans="1:21" ht="15">
      <c r="A106" t="s">
        <v>280</v>
      </c>
      <c r="B106" s="1">
        <v>46222</v>
      </c>
      <c r="C106" t="s">
        <v>281</v>
      </c>
      <c r="D106" t="s">
        <v>282</v>
      </c>
      <c r="E106" t="s">
        <v>283</v>
      </c>
    </row>
    <row r="107" spans="1:21" ht="15">
      <c r="U107" s="5"/>
    </row>
    <row r="108" spans="1:21" ht="15">
      <c r="U108" s="5"/>
    </row>
    <row r="109" spans="1:21" ht="15">
      <c r="U109" s="5"/>
    </row>
    <row r="110" spans="1:21" ht="15">
      <c r="U110" s="5"/>
    </row>
    <row r="111" spans="1:21" ht="15">
      <c r="U111" s="5"/>
    </row>
    <row r="112" spans="1:21" ht="15">
      <c r="U112" s="5"/>
    </row>
    <row r="113" spans="21:21" ht="15">
      <c r="U113" s="5"/>
    </row>
    <row r="114" spans="21:21" ht="15">
      <c r="U114" s="5"/>
    </row>
    <row r="115" spans="21:21" ht="15">
      <c r="U115" s="5"/>
    </row>
    <row r="116" spans="21:21" ht="15">
      <c r="U116" s="5"/>
    </row>
    <row r="117" spans="21:21" ht="15">
      <c r="U117" s="5"/>
    </row>
    <row r="118" spans="21:21" ht="15">
      <c r="U118" s="5"/>
    </row>
    <row r="119" spans="21:21" ht="15">
      <c r="U119" s="5"/>
    </row>
    <row r="120" spans="21:21" ht="15">
      <c r="U120" s="5"/>
    </row>
    <row r="121" spans="21:21" ht="15">
      <c r="U121" s="5"/>
    </row>
    <row r="122" spans="21:21" ht="15">
      <c r="U122" s="5"/>
    </row>
    <row r="123" spans="21:21" ht="15">
      <c r="U123" s="5"/>
    </row>
    <row r="124" spans="21:21" ht="15">
      <c r="U124" s="5"/>
    </row>
    <row r="125" spans="21:21" ht="15">
      <c r="U125" s="5"/>
    </row>
    <row r="126" spans="21:21" ht="15">
      <c r="U126" s="5"/>
    </row>
    <row r="127" spans="21:21" ht="15">
      <c r="U127" s="5"/>
    </row>
    <row r="128" spans="21:21" ht="15">
      <c r="U128" s="5"/>
    </row>
    <row r="129" spans="21:21" ht="15">
      <c r="U129" s="5"/>
    </row>
    <row r="130" spans="21:21" ht="15">
      <c r="U130" s="5"/>
    </row>
    <row r="131" spans="21:21" ht="15">
      <c r="U131" s="5"/>
    </row>
    <row r="132" spans="21:21" ht="15">
      <c r="U132" s="5"/>
    </row>
    <row r="133" spans="21:21" ht="15">
      <c r="U133" s="5"/>
    </row>
    <row r="134" spans="21:21" ht="15">
      <c r="U134" s="5"/>
    </row>
    <row r="135" spans="21:21" ht="15">
      <c r="U135" s="5"/>
    </row>
    <row r="136" spans="21:21" ht="15">
      <c r="U136" s="5"/>
    </row>
    <row r="137" spans="21:21" ht="15">
      <c r="U137" s="5"/>
    </row>
    <row r="138" spans="21:21" ht="15">
      <c r="U138" s="5"/>
    </row>
    <row r="139" spans="21:21" ht="15">
      <c r="U139" s="5"/>
    </row>
    <row r="140" spans="21:21" ht="15">
      <c r="U140" s="5"/>
    </row>
    <row r="141" spans="21:21" ht="15">
      <c r="U141" s="5"/>
    </row>
    <row r="142" spans="21:21" ht="15">
      <c r="U142" s="5"/>
    </row>
    <row r="143" spans="21:21" ht="15">
      <c r="U143" s="5"/>
    </row>
    <row r="144" spans="21:21" ht="15">
      <c r="U144" s="5"/>
    </row>
    <row r="145" spans="21:21" ht="15">
      <c r="U145" s="5"/>
    </row>
    <row r="146" spans="21:21" ht="15">
      <c r="U146" s="5"/>
    </row>
    <row r="147" spans="21:21" ht="15">
      <c r="U147" s="5"/>
    </row>
    <row r="148" spans="21:21" ht="15">
      <c r="U148" s="5"/>
    </row>
    <row r="149" spans="21:21" ht="15">
      <c r="U149" s="5"/>
    </row>
    <row r="150" spans="21:21" ht="15">
      <c r="U150" s="5"/>
    </row>
    <row r="151" spans="21:21" ht="15">
      <c r="U151" s="5"/>
    </row>
    <row r="152" spans="21:21" ht="15">
      <c r="U152" s="5"/>
    </row>
    <row r="153" spans="21:21" ht="15">
      <c r="U153" s="5"/>
    </row>
    <row r="154" spans="21:21" ht="15">
      <c r="U154" s="5"/>
    </row>
    <row r="155" spans="21:21" ht="15">
      <c r="U155" s="5"/>
    </row>
    <row r="156" spans="21:21" ht="15">
      <c r="U156" s="5"/>
    </row>
    <row r="157" spans="21:21" ht="15">
      <c r="U157" s="5"/>
    </row>
    <row r="158" spans="21:21" ht="15">
      <c r="U158" s="5"/>
    </row>
    <row r="159" spans="21:21" ht="15">
      <c r="U159" s="5"/>
    </row>
    <row r="160" spans="21:21" ht="15">
      <c r="U160" s="5"/>
    </row>
    <row r="161" spans="21:21" ht="15">
      <c r="U161" s="5"/>
    </row>
    <row r="162" spans="21:21" ht="15">
      <c r="U162" s="5"/>
    </row>
    <row r="163" spans="21:21" ht="15">
      <c r="U163" s="5"/>
    </row>
    <row r="164" spans="21:21" ht="15">
      <c r="U164" s="5"/>
    </row>
    <row r="165" spans="21:21" ht="15">
      <c r="U165" s="5"/>
    </row>
    <row r="166" spans="21:21" ht="15">
      <c r="U166" s="5"/>
    </row>
    <row r="167" spans="21:21" ht="15">
      <c r="U167" s="5"/>
    </row>
    <row r="168" spans="21:21" ht="15">
      <c r="U168" s="5"/>
    </row>
    <row r="169" spans="21:21" ht="15">
      <c r="U169" s="5"/>
    </row>
    <row r="170" spans="21:21" ht="15">
      <c r="U170" s="5"/>
    </row>
    <row r="171" spans="21:21" ht="15">
      <c r="U171" s="5"/>
    </row>
    <row r="172" spans="21:21" ht="15">
      <c r="U172" s="5"/>
    </row>
    <row r="173" spans="21:21" ht="15">
      <c r="U173" s="5"/>
    </row>
    <row r="174" spans="21:21" ht="15">
      <c r="U174" s="5"/>
    </row>
    <row r="175" spans="21:21" ht="15">
      <c r="U175" s="5"/>
    </row>
    <row r="176" spans="21:21" ht="15">
      <c r="U176" s="5"/>
    </row>
    <row r="177" spans="21:21" ht="15">
      <c r="U177" s="5"/>
    </row>
    <row r="178" spans="21:21" ht="15">
      <c r="U178" s="5"/>
    </row>
    <row r="179" spans="21:21" ht="15">
      <c r="U179" s="5"/>
    </row>
    <row r="180" spans="21:21" ht="15">
      <c r="U180" s="5"/>
    </row>
    <row r="181" spans="21:21" ht="15">
      <c r="U181" s="5"/>
    </row>
    <row r="182" spans="21:21" ht="15">
      <c r="U182" s="5"/>
    </row>
    <row r="183" spans="21:21" ht="15">
      <c r="U183" s="5"/>
    </row>
    <row r="184" spans="21:21" ht="15">
      <c r="U184" s="5"/>
    </row>
    <row r="185" spans="21:21" ht="15">
      <c r="U185" s="5"/>
    </row>
    <row r="186" spans="21:21" ht="15">
      <c r="U186" s="5"/>
    </row>
    <row r="187" spans="21:21" ht="15">
      <c r="U187" s="5"/>
    </row>
    <row r="188" spans="21:21" ht="15">
      <c r="U188" s="5"/>
    </row>
    <row r="189" spans="21:21" ht="15">
      <c r="U189" s="5"/>
    </row>
    <row r="190" spans="21:21" ht="15">
      <c r="U190" s="5"/>
    </row>
    <row r="191" spans="21:21" ht="15">
      <c r="U191" s="5"/>
    </row>
    <row r="192" spans="21:21" ht="15">
      <c r="U192" s="5"/>
    </row>
    <row r="193" spans="21:21" ht="15">
      <c r="U193" s="5"/>
    </row>
    <row r="194" spans="21:21" ht="15">
      <c r="U194" s="5"/>
    </row>
    <row r="195" spans="21:21" ht="15">
      <c r="U195" s="5"/>
    </row>
    <row r="196" spans="21:21" ht="15">
      <c r="U196" s="5"/>
    </row>
    <row r="197" spans="21:21" ht="15">
      <c r="U197" s="5"/>
    </row>
    <row r="198" spans="21:21" ht="15">
      <c r="U198" s="5"/>
    </row>
    <row r="199" spans="21:21" ht="15">
      <c r="U199" s="5"/>
    </row>
    <row r="200" spans="21:21" ht="15">
      <c r="U200" s="5"/>
    </row>
    <row r="201" spans="21:21" ht="15">
      <c r="U201" s="5"/>
    </row>
    <row r="202" spans="21:21" ht="15">
      <c r="U202" s="5"/>
    </row>
    <row r="203" spans="21:21" ht="15">
      <c r="U203" s="5"/>
    </row>
    <row r="204" spans="21:21" ht="15">
      <c r="U204" s="5"/>
    </row>
    <row r="205" spans="21:21" ht="15">
      <c r="U205" s="5"/>
    </row>
    <row r="206" spans="21:21" ht="15">
      <c r="U206" s="5"/>
    </row>
    <row r="207" spans="21:21" ht="15">
      <c r="U207" s="5"/>
    </row>
    <row r="208" spans="21:21" ht="15">
      <c r="U208" s="5"/>
    </row>
    <row r="209" spans="21:21" ht="15">
      <c r="U209" s="5"/>
    </row>
    <row r="210" spans="21:21" ht="15">
      <c r="U210" s="5"/>
    </row>
    <row r="211" spans="21:21" ht="15">
      <c r="U211" s="5"/>
    </row>
    <row r="212" spans="21:21" ht="15">
      <c r="U212" s="5"/>
    </row>
    <row r="213" spans="21:21" ht="15">
      <c r="U213" s="5"/>
    </row>
    <row r="214" spans="21:21" ht="15">
      <c r="U214" s="5"/>
    </row>
    <row r="215" spans="21:21" ht="15">
      <c r="U215" s="5"/>
    </row>
    <row r="216" spans="21:21" ht="15">
      <c r="U216" s="5"/>
    </row>
    <row r="217" spans="21:21" ht="15">
      <c r="U217" s="5"/>
    </row>
    <row r="218" spans="21:21" ht="15">
      <c r="U218" s="5"/>
    </row>
    <row r="219" spans="21:21" ht="15">
      <c r="U219" s="5"/>
    </row>
    <row r="220" spans="21:21" ht="15">
      <c r="U220" s="5"/>
    </row>
    <row r="221" spans="21:21" ht="15">
      <c r="U221" s="5"/>
    </row>
    <row r="222" spans="21:21" ht="15">
      <c r="U222" s="5"/>
    </row>
    <row r="223" spans="21:21" ht="15">
      <c r="U223" s="5"/>
    </row>
    <row r="224" spans="21:21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</sheetData>
  <mergeCells count="1">
    <mergeCell ref="V1:X1"/>
  </mergeCells>
  <pageMargins left="0.7" right="0.7" top="0.78740157499999996" bottom="0.78740157499999996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D946B-4D4E-4193-846F-D7DE0448064C}">
  <dimension ref="A1:C2"/>
  <sheetViews>
    <sheetView workbookViewId="0"/>
  </sheetViews>
  <sheetFormatPr defaultRowHeight="15"/>
  <sheetData>
    <row r="1" spans="1:3">
      <c r="A1" s="2" t="s">
        <v>44</v>
      </c>
      <c r="B1" s="2" t="s">
        <v>48</v>
      </c>
      <c r="C1" s="2" t="s">
        <v>49</v>
      </c>
    </row>
    <row r="2" spans="1:3">
      <c r="A2" t="str" cm="1">
        <f t="array" ref="A2:C2">IFERROR(_xlfn.LET(_xlpm.em,_xlfn._xlws.FILTER(UserTips[UserEmail],UserTips[UserEmail]&lt;&gt;""),_xlpm.u,_xlfn._xlws.SORT(_xlfn.UNIQUE(_xlpm.em)),_xlpm.pts,SUMIFS(UserTips[PointsEarned],UserTips[UserEmail],_xlpm.u),_xlpm.nick,_xlfn.MAKEARRAY(ROWS(_xlpm.u),1,_xlfn.LAMBDA(_xlpm.r,_xlpm.c,"")),_xlfn.SORTBY(_xlfn.HSTACK(_xlpm.u,_xlpm.nick,_xlpm.pts),_xlpm.pts,-1)),_xlfn.HSTACK("","",""))</f>
        <v/>
      </c>
      <c r="B2" t="str">
        <v/>
      </c>
      <c r="C2" t="str"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2daf8e-98e7-42fc-b150-8db29dc1fb14}" enabled="1" method="Standard" siteId="{9e73e135-fe7a-447f-baba-b0312d3aa5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Keller, Daniel</dc:creator>
  <cp:keywords/>
  <dc:description/>
  <cp:lastModifiedBy>admin</cp:lastModifiedBy>
  <cp:revision/>
  <dcterms:created xsi:type="dcterms:W3CDTF">2026-03-16T16:23:17Z</dcterms:created>
  <dcterms:modified xsi:type="dcterms:W3CDTF">2026-05-12T12:43:08Z</dcterms:modified>
  <cp:category/>
  <cp:contentStatus/>
</cp:coreProperties>
</file>